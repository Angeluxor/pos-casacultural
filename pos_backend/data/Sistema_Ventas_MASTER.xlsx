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dmig\Downloads\"/>
    </mc:Choice>
  </mc:AlternateContent>
  <xr:revisionPtr revIDLastSave="0" documentId="8_{8F39B84D-6333-4030-9AE2-9EEE6E18A3FE}" xr6:coauthVersionLast="47" xr6:coauthVersionMax="47" xr10:uidLastSave="{00000000-0000-0000-0000-000000000000}"/>
  <workbookProtection workbookAlgorithmName="SHA-512" workbookHashValue="Vva06Tv6jIVdVDYhyziTJhVoayc1OHfDxGf5gxLagH0cjX16a9iYMhUvkZtQRkrRs7j/umLu9KBg++f0ZnJuNQ==" workbookSaltValue="Npeh/F81Ye5xQA4L1EueFA==" workbookSpinCount="100000" lockStructure="1"/>
  <bookViews>
    <workbookView xWindow="-120" yWindow="-120" windowWidth="29040" windowHeight="15720" firstSheet="3" activeTab="3" xr2:uid="{9BEDEA53-EB8A-4634-9BB2-898E9F812130}"/>
  </bookViews>
  <sheets>
    <sheet name="Facturas" sheetId="4" r:id="rId1"/>
    <sheet name="Clientes" sheetId="3" r:id="rId2"/>
    <sheet name="Caja" sheetId="22" r:id="rId3"/>
    <sheet name="DetalleFactura" sheetId="5" r:id="rId4"/>
    <sheet name="Pagos" sheetId="6" r:id="rId5"/>
    <sheet name="Configuración" sheetId="7" r:id="rId6"/>
    <sheet name="Reportes" sheetId="8" r:id="rId7"/>
    <sheet name="AuxDashboard" sheetId="12" state="veryHidden" r:id="rId8"/>
    <sheet name="Factura" sheetId="9" r:id="rId9"/>
    <sheet name="Productos" sheetId="2" r:id="rId10"/>
    <sheet name="Gastos" sheetId="16" r:id="rId11"/>
    <sheet name="OtrosMovimientos" sheetId="20" r:id="rId12"/>
    <sheet name="Prestamos" sheetId="18" r:id="rId13"/>
    <sheet name="MovimientoPrestamos" sheetId="19" r:id="rId14"/>
    <sheet name="MovimientosInventario" sheetId="10" r:id="rId15"/>
  </sheets>
  <definedNames>
    <definedName name="_xlnm.Print_Area" localSheetId="7">AuxDashboard!$A$2:$L$33</definedName>
    <definedName name="_xlnm.Print_Area" localSheetId="6">Reportes!$A$1:$F$469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58" i="4" l="1"/>
  <c r="E273" i="4"/>
  <c r="E272" i="4"/>
  <c r="E271" i="4"/>
  <c r="E269" i="4"/>
  <c r="E267" i="4"/>
  <c r="E266" i="4"/>
  <c r="E265" i="4"/>
  <c r="E264" i="4"/>
  <c r="E263" i="4"/>
  <c r="E262" i="4"/>
  <c r="E261" i="4"/>
  <c r="E260" i="4"/>
  <c r="E257" i="4"/>
  <c r="E255" i="4"/>
  <c r="E254" i="4"/>
  <c r="E252" i="4"/>
  <c r="E250" i="4"/>
  <c r="E268" i="4"/>
  <c r="G19" i="10"/>
  <c r="F15" i="10"/>
  <c r="G9" i="10"/>
  <c r="F25" i="2"/>
  <c r="E256" i="4"/>
  <c r="E253" i="4"/>
  <c r="E251" i="4"/>
  <c r="E249" i="4"/>
  <c r="E248" i="4"/>
  <c r="E247" i="4"/>
  <c r="E243" i="4"/>
  <c r="E242" i="4"/>
  <c r="E241" i="4"/>
  <c r="E226" i="4"/>
  <c r="E220" i="4"/>
  <c r="E186" i="4"/>
  <c r="E185" i="4"/>
  <c r="E184" i="4"/>
  <c r="J11" i="22"/>
  <c r="P84" i="16"/>
  <c r="R83" i="16"/>
  <c r="R82" i="16"/>
  <c r="R81" i="16"/>
  <c r="R80" i="16"/>
  <c r="R79" i="16"/>
  <c r="R78" i="16"/>
  <c r="R77" i="16"/>
  <c r="R84" i="16" s="1"/>
</calcChain>
</file>

<file path=xl/sharedStrings.xml><?xml version="1.0" encoding="utf-8"?>
<sst xmlns="http://schemas.openxmlformats.org/spreadsheetml/2006/main" count="8784" uniqueCount="909">
  <si>
    <t>Código</t>
  </si>
  <si>
    <t>Producto</t>
  </si>
  <si>
    <t>Categoría</t>
  </si>
  <si>
    <t>Precio</t>
  </si>
  <si>
    <t>Activo</t>
  </si>
  <si>
    <t>Café Americano</t>
  </si>
  <si>
    <t>Café</t>
  </si>
  <si>
    <t>SI</t>
  </si>
  <si>
    <t>Licor</t>
  </si>
  <si>
    <t>Vino Copa</t>
  </si>
  <si>
    <t>M001</t>
  </si>
  <si>
    <t>Comida</t>
  </si>
  <si>
    <t>Capuccino con licor</t>
  </si>
  <si>
    <t>Capuccino sin licor</t>
  </si>
  <si>
    <t>Affogato</t>
  </si>
  <si>
    <t>Sanduche</t>
  </si>
  <si>
    <t>Chorizo</t>
  </si>
  <si>
    <t>Ron trago</t>
  </si>
  <si>
    <t>Aguardiente trago</t>
  </si>
  <si>
    <t>Ron trago doble</t>
  </si>
  <si>
    <t>Aguardiente trago doble</t>
  </si>
  <si>
    <t>CA001</t>
  </si>
  <si>
    <t>CE001</t>
  </si>
  <si>
    <t>CA002</t>
  </si>
  <si>
    <t>CE002</t>
  </si>
  <si>
    <t>CA003</t>
  </si>
  <si>
    <t>CA004</t>
  </si>
  <si>
    <t>CE003</t>
  </si>
  <si>
    <t>CE004</t>
  </si>
  <si>
    <t>CE005</t>
  </si>
  <si>
    <t>CE006</t>
  </si>
  <si>
    <t>CE007</t>
  </si>
  <si>
    <t>LI001</t>
  </si>
  <si>
    <t>LI002</t>
  </si>
  <si>
    <t>LI003</t>
  </si>
  <si>
    <t>LI004</t>
  </si>
  <si>
    <t>LI005</t>
  </si>
  <si>
    <t>IdCliente</t>
  </si>
  <si>
    <t>Nombre</t>
  </si>
  <si>
    <t>Teléfono</t>
  </si>
  <si>
    <t>Observaciones</t>
  </si>
  <si>
    <t>Cliente frecuente</t>
  </si>
  <si>
    <t>Robinson Montoya</t>
  </si>
  <si>
    <t>Jiovan Ríos</t>
  </si>
  <si>
    <t>Juan Diego Suarez</t>
  </si>
  <si>
    <t>Simoné Valencia</t>
  </si>
  <si>
    <t>Pablo</t>
  </si>
  <si>
    <t>Correo</t>
  </si>
  <si>
    <t>jiovanriosocm@gmail.com</t>
  </si>
  <si>
    <t>Instagram</t>
  </si>
  <si>
    <t>Factura</t>
  </si>
  <si>
    <t>Fecha</t>
  </si>
  <si>
    <t>Hora</t>
  </si>
  <si>
    <t>Estado</t>
  </si>
  <si>
    <t>Total</t>
  </si>
  <si>
    <t>Item</t>
  </si>
  <si>
    <t>Cantidad</t>
  </si>
  <si>
    <t>Valor</t>
  </si>
  <si>
    <t>Efectivo</t>
  </si>
  <si>
    <t>Parámetro</t>
  </si>
  <si>
    <t>UltimaFactura</t>
  </si>
  <si>
    <t>NombreNegocio</t>
  </si>
  <si>
    <t>Nit</t>
  </si>
  <si>
    <t>Dirección</t>
  </si>
  <si>
    <t>Carrera 50C # 63-52. Medellín</t>
  </si>
  <si>
    <t>M002</t>
  </si>
  <si>
    <t>IVA</t>
  </si>
  <si>
    <t>Forma de pago</t>
  </si>
  <si>
    <t>Subtotal</t>
  </si>
  <si>
    <t>Factura No.</t>
  </si>
  <si>
    <t>Cliente</t>
  </si>
  <si>
    <t>Gracias por su visita.</t>
  </si>
  <si>
    <t>CASA CULTURAL CASI OBSCENO</t>
  </si>
  <si>
    <t xml:space="preserve">Cant </t>
  </si>
  <si>
    <t>TOTAL</t>
  </si>
  <si>
    <t>Forma de pago:</t>
  </si>
  <si>
    <t>Precio unitario</t>
  </si>
  <si>
    <t>--------------------------------------------------------------------------------------------------------</t>
  </si>
  <si>
    <t>Precio Venta</t>
  </si>
  <si>
    <t>Costo</t>
  </si>
  <si>
    <t>Existencias</t>
  </si>
  <si>
    <t>Stock mínimo</t>
  </si>
  <si>
    <t>Existencia Anterior</t>
  </si>
  <si>
    <t>Existencia Nueva</t>
  </si>
  <si>
    <t>Observación</t>
  </si>
  <si>
    <t>43.115.129</t>
  </si>
  <si>
    <t>Carrera 50 C # 63-52. Prado Centro - Medellín</t>
  </si>
  <si>
    <t>Ventas</t>
  </si>
  <si>
    <t>M003</t>
  </si>
  <si>
    <t>Servicio</t>
  </si>
  <si>
    <t>Alquiler espacio 1 día</t>
  </si>
  <si>
    <t>Casi Obsceno Casa Cultural</t>
  </si>
  <si>
    <t>Tipo/Motivo</t>
  </si>
  <si>
    <t>--------------------------------------------------------------------------------------------------------------------</t>
  </si>
  <si>
    <t>Saldo</t>
  </si>
  <si>
    <t>Tipo de reporte:</t>
  </si>
  <si>
    <t>Desde:</t>
  </si>
  <si>
    <t>Hasta:</t>
  </si>
  <si>
    <t>Generado:</t>
  </si>
  <si>
    <t>Tipo</t>
  </si>
  <si>
    <t>Referencia</t>
  </si>
  <si>
    <t>Entrada</t>
  </si>
  <si>
    <t>Salida</t>
  </si>
  <si>
    <t>Jacobo Ochoa</t>
  </si>
  <si>
    <t>Roja Club Colombia</t>
  </si>
  <si>
    <t>Trigo Club Colombia</t>
  </si>
  <si>
    <t>Dorada Club Colombia</t>
  </si>
  <si>
    <t>Poker Cerveza</t>
  </si>
  <si>
    <t>Aguila Cerveza</t>
  </si>
  <si>
    <t>Aguila ligth Cerveza</t>
  </si>
  <si>
    <t>SO001</t>
  </si>
  <si>
    <t>Bebidas</t>
  </si>
  <si>
    <t>SO002</t>
  </si>
  <si>
    <t>SO003</t>
  </si>
  <si>
    <t>Saborizada Soda frutos rojos</t>
  </si>
  <si>
    <t>Michelada Soda</t>
  </si>
  <si>
    <t>Documento</t>
  </si>
  <si>
    <t>Dante Ríos Ruíz</t>
  </si>
  <si>
    <t>1017930513</t>
  </si>
  <si>
    <t>Sandra Marcela Ruíz Jaramillo</t>
  </si>
  <si>
    <t>dohelaimarier2005@gmail.com</t>
  </si>
  <si>
    <t>@casiobsceno9</t>
  </si>
  <si>
    <t>Propietaria</t>
  </si>
  <si>
    <t>43115129</t>
  </si>
  <si>
    <t>Antonia Ochoa Ríos</t>
  </si>
  <si>
    <t/>
  </si>
  <si>
    <t>Miguel Ángel Molina</t>
  </si>
  <si>
    <t>IN001</t>
  </si>
  <si>
    <t>Infusión frutos amarillos</t>
  </si>
  <si>
    <t>Susana Quiroz</t>
  </si>
  <si>
    <t>CA005</t>
  </si>
  <si>
    <t>CA006</t>
  </si>
  <si>
    <t>Frapuchino sin licor</t>
  </si>
  <si>
    <t>Frapuchino con licor</t>
  </si>
  <si>
    <t>CONSUMIDOR FINAL</t>
  </si>
  <si>
    <t>000000000</t>
  </si>
  <si>
    <t>M004</t>
  </si>
  <si>
    <t>Pizza mediana</t>
  </si>
  <si>
    <t>Campo</t>
  </si>
  <si>
    <t>Tipo de gasto</t>
  </si>
  <si>
    <t>Concepto</t>
  </si>
  <si>
    <t>IDPrestamo</t>
  </si>
  <si>
    <t>Persona</t>
  </si>
  <si>
    <t>Valor inicial</t>
  </si>
  <si>
    <t>IDMovimiento</t>
  </si>
  <si>
    <t>Fecha de Vencimiento</t>
  </si>
  <si>
    <t>Tipo de Movimiento</t>
  </si>
  <si>
    <t>Tipo de movimiento</t>
  </si>
  <si>
    <t>Tati</t>
  </si>
  <si>
    <t>Carlos</t>
  </si>
  <si>
    <t>Juan Carlos</t>
  </si>
  <si>
    <t>Pau (amiga)</t>
  </si>
  <si>
    <t>Nicolle</t>
  </si>
  <si>
    <t>Sebastián (gafas)</t>
  </si>
  <si>
    <t>Transferencia</t>
  </si>
  <si>
    <t>PAGADA</t>
  </si>
  <si>
    <t>NO</t>
  </si>
  <si>
    <t>Pagado</t>
  </si>
  <si>
    <t>CI001</t>
  </si>
  <si>
    <t>Cigarrillo +</t>
  </si>
  <si>
    <t>Cigarrillo</t>
  </si>
  <si>
    <t>Cigarrillo -</t>
  </si>
  <si>
    <t>Crédito</t>
  </si>
  <si>
    <t>PENDIENTE</t>
  </si>
  <si>
    <t>IN002</t>
  </si>
  <si>
    <t>Infusión frutos rojos</t>
  </si>
  <si>
    <t>Faber</t>
  </si>
  <si>
    <t>Cristina</t>
  </si>
  <si>
    <t>Santiago Galeano</t>
  </si>
  <si>
    <t>Manuela</t>
  </si>
  <si>
    <t>Edwin</t>
  </si>
  <si>
    <t>Saborizada Soda frutos amarillos</t>
  </si>
  <si>
    <t>Pino</t>
  </si>
  <si>
    <t>Angie</t>
  </si>
  <si>
    <t>Jacobo Villa</t>
  </si>
  <si>
    <t>Claudia</t>
  </si>
  <si>
    <t>Ana</t>
  </si>
  <si>
    <t>Ana Sofía</t>
  </si>
  <si>
    <t>Flor Ángela</t>
  </si>
  <si>
    <t>Cata</t>
  </si>
  <si>
    <t>Propietario</t>
  </si>
  <si>
    <t>Pilsenon Cerveza</t>
  </si>
  <si>
    <t>CE008</t>
  </si>
  <si>
    <t>Pokeron Cerveza</t>
  </si>
  <si>
    <t>Pilsen Cerveza</t>
  </si>
  <si>
    <t>Raúl (amigo Faber)</t>
  </si>
  <si>
    <t>SO004</t>
  </si>
  <si>
    <t>Soda vaso</t>
  </si>
  <si>
    <t>David</t>
  </si>
  <si>
    <t>Didier</t>
  </si>
  <si>
    <t>CE009</t>
  </si>
  <si>
    <t>Vaso michelado</t>
  </si>
  <si>
    <t>Camilo</t>
  </si>
  <si>
    <t>Jeison</t>
  </si>
  <si>
    <t>Jimena</t>
  </si>
  <si>
    <t>Natalia</t>
  </si>
  <si>
    <t>Estefanía</t>
  </si>
  <si>
    <t>Andrés Ortega</t>
  </si>
  <si>
    <t>Estefanía Crespa</t>
  </si>
  <si>
    <t>Isaac (Amigo Salo)</t>
  </si>
  <si>
    <t>C.O</t>
  </si>
  <si>
    <t>Paulina UdeA</t>
  </si>
  <si>
    <t>Carlitos Santo</t>
  </si>
  <si>
    <t>Alejandro Paulina UdeA</t>
  </si>
  <si>
    <t>Andrés Largo</t>
  </si>
  <si>
    <t>Angélica</t>
  </si>
  <si>
    <t>Sofia Azulejas</t>
  </si>
  <si>
    <t>Mariam Azulejas</t>
  </si>
  <si>
    <t>Alexa Azulejas</t>
  </si>
  <si>
    <t>Tiago</t>
  </si>
  <si>
    <t>Alexander</t>
  </si>
  <si>
    <t>Sara Porfirio</t>
  </si>
  <si>
    <t>Daniela Porfirio</t>
  </si>
  <si>
    <t>Kevin Porfirio</t>
  </si>
  <si>
    <t>Gloria Faber</t>
  </si>
  <si>
    <t>Alejo Mono</t>
  </si>
  <si>
    <t>Andres Profe</t>
  </si>
  <si>
    <t>Jhonatan</t>
  </si>
  <si>
    <t>Sergio</t>
  </si>
  <si>
    <t>Juan</t>
  </si>
  <si>
    <t>Salo</t>
  </si>
  <si>
    <t>Mateo Astrucón</t>
  </si>
  <si>
    <t>Jhoan Zapata</t>
  </si>
  <si>
    <t>Willmar</t>
  </si>
  <si>
    <t>Yireth</t>
  </si>
  <si>
    <t>Mauricio</t>
  </si>
  <si>
    <t>Julian</t>
  </si>
  <si>
    <t>Mara Laura</t>
  </si>
  <si>
    <t>Camila (Flores)</t>
  </si>
  <si>
    <t>Zoe</t>
  </si>
  <si>
    <t>Jandey Marcel</t>
  </si>
  <si>
    <t>Claudia Botero</t>
  </si>
  <si>
    <t>Sara Papalotl</t>
  </si>
  <si>
    <t>Paulina Porfirio</t>
  </si>
  <si>
    <t>Mateo Pro</t>
  </si>
  <si>
    <t>Oriana</t>
  </si>
  <si>
    <t>Esteban Utopia</t>
  </si>
  <si>
    <t xml:space="preserve">Nikol </t>
  </si>
  <si>
    <t>Kelly</t>
  </si>
  <si>
    <t>Emy</t>
  </si>
  <si>
    <t>LI006</t>
  </si>
  <si>
    <t>Ron Media</t>
  </si>
  <si>
    <t>HE001</t>
  </si>
  <si>
    <t>Helado copa</t>
  </si>
  <si>
    <t>SO005</t>
  </si>
  <si>
    <t>Soda Litro</t>
  </si>
  <si>
    <t>Helado</t>
  </si>
  <si>
    <t>Paskin</t>
  </si>
  <si>
    <t>Destornillador (cóctel)</t>
  </si>
  <si>
    <t>Gimena Mena</t>
  </si>
  <si>
    <t>Lina</t>
  </si>
  <si>
    <t>Iván</t>
  </si>
  <si>
    <t>Sara Viva</t>
  </si>
  <si>
    <t>Sara</t>
  </si>
  <si>
    <t>Evelyn</t>
  </si>
  <si>
    <t>Cris Viva</t>
  </si>
  <si>
    <t>GASTO-000001</t>
  </si>
  <si>
    <t>Elementos de aseo</t>
  </si>
  <si>
    <t>EFECTIVO</t>
  </si>
  <si>
    <t xml:space="preserve"> Insumos para ventas</t>
  </si>
  <si>
    <t>Arriendo</t>
  </si>
  <si>
    <t>Servicios públicos (agua - energía - tasa de aseo)</t>
  </si>
  <si>
    <t>Servicio de gas (pipeta)</t>
  </si>
  <si>
    <t>Servicio de Internet</t>
  </si>
  <si>
    <t>Servicio de streaming (Youtube, Spotify, etc)</t>
  </si>
  <si>
    <t>Mantenimiento casa</t>
  </si>
  <si>
    <t>Publicidad impresa</t>
  </si>
  <si>
    <t>Publicidad digital</t>
  </si>
  <si>
    <t>Aporte a artistas o realizadores actividades</t>
  </si>
  <si>
    <t>Honorarios</t>
  </si>
  <si>
    <t>Otros</t>
  </si>
  <si>
    <t>Insumos para ventas</t>
  </si>
  <si>
    <t>Vasos desechables</t>
  </si>
  <si>
    <t>Servilletas</t>
  </si>
  <si>
    <t>Azucar pitillos</t>
  </si>
  <si>
    <t>Bolsa</t>
  </si>
  <si>
    <t>Paño reutilizable</t>
  </si>
  <si>
    <t>Desengrasante</t>
  </si>
  <si>
    <t>Papel higienico</t>
  </si>
  <si>
    <t>Intenet Casa</t>
  </si>
  <si>
    <t>Internet Movil</t>
  </si>
  <si>
    <t>BANCO</t>
  </si>
  <si>
    <t>GASTO-000002</t>
  </si>
  <si>
    <t>GASTO-000003</t>
  </si>
  <si>
    <t>GASTO-000004</t>
  </si>
  <si>
    <t>GASTO-000005</t>
  </si>
  <si>
    <t>GASTO-000006</t>
  </si>
  <si>
    <t>GASTO-000007</t>
  </si>
  <si>
    <t>GASTO-000008</t>
  </si>
  <si>
    <t>GASTO-000009</t>
  </si>
  <si>
    <t>GASTO-000010</t>
  </si>
  <si>
    <t>GASTO-000011</t>
  </si>
  <si>
    <t>GASTO-000012</t>
  </si>
  <si>
    <t>GASTO-000013</t>
  </si>
  <si>
    <t>GASTO-000014</t>
  </si>
  <si>
    <t>GASTO-000015</t>
  </si>
  <si>
    <t>Arrendamiento casa</t>
  </si>
  <si>
    <t>Costo total</t>
  </si>
  <si>
    <t>Venta total</t>
  </si>
  <si>
    <t>Costo unitario</t>
  </si>
  <si>
    <t>Compra</t>
  </si>
  <si>
    <t>CE010</t>
  </si>
  <si>
    <t>CI002</t>
  </si>
  <si>
    <t>Mecato</t>
  </si>
  <si>
    <t>Jugo de naranja</t>
  </si>
  <si>
    <t>Zumo de Uva</t>
  </si>
  <si>
    <t>Soda</t>
  </si>
  <si>
    <t xml:space="preserve">Mora </t>
  </si>
  <si>
    <t>Queso</t>
  </si>
  <si>
    <t>Arepas</t>
  </si>
  <si>
    <t>Cebolla blanca</t>
  </si>
  <si>
    <t>Crema de leche</t>
  </si>
  <si>
    <t>Limon</t>
  </si>
  <si>
    <t>Pan tajado</t>
  </si>
  <si>
    <t>Limones</t>
  </si>
  <si>
    <t>Cafe soluble</t>
  </si>
  <si>
    <t>Aceite</t>
  </si>
  <si>
    <t>Sal</t>
  </si>
  <si>
    <t>Pechuga</t>
  </si>
  <si>
    <t>Piña</t>
  </si>
  <si>
    <t>Insumos productos</t>
  </si>
  <si>
    <t>GASTO-000016</t>
  </si>
  <si>
    <t>GASTO-000017</t>
  </si>
  <si>
    <t>GASTO-000018</t>
  </si>
  <si>
    <t>GASTO-000019</t>
  </si>
  <si>
    <t>GASTO-000020</t>
  </si>
  <si>
    <t>GASTO-000021</t>
  </si>
  <si>
    <t>GASTO-000022</t>
  </si>
  <si>
    <t>GASTO-000023</t>
  </si>
  <si>
    <t>GASTO-000024</t>
  </si>
  <si>
    <t>GASTO-000025</t>
  </si>
  <si>
    <t>GASTO-000026</t>
  </si>
  <si>
    <t>GASTO-000027</t>
  </si>
  <si>
    <t>GASTO-000028</t>
  </si>
  <si>
    <t>GASTO-000029</t>
  </si>
  <si>
    <t>GASTO-000030</t>
  </si>
  <si>
    <t>GASTO-000031</t>
  </si>
  <si>
    <t>GASTO-000032</t>
  </si>
  <si>
    <t>GASTO-000033</t>
  </si>
  <si>
    <t>GASTO-000034</t>
  </si>
  <si>
    <t>GASTO-000035</t>
  </si>
  <si>
    <t>GASTO-000036</t>
  </si>
  <si>
    <t>GASTO-000037</t>
  </si>
  <si>
    <t>GASTO-000038</t>
  </si>
  <si>
    <t>GASTO-000039</t>
  </si>
  <si>
    <t>GASTO-000040</t>
  </si>
  <si>
    <t>GASTO-000041</t>
  </si>
  <si>
    <t>GASTO-000042</t>
  </si>
  <si>
    <t>GASTO-000043</t>
  </si>
  <si>
    <t>GASTO-000044</t>
  </si>
  <si>
    <t>GASTO-000045</t>
  </si>
  <si>
    <t>GASTO-000046</t>
  </si>
  <si>
    <t>GASTO-000047</t>
  </si>
  <si>
    <t>GASTO-000048</t>
  </si>
  <si>
    <t>GASTO-000049</t>
  </si>
  <si>
    <t>GASTO-000050</t>
  </si>
  <si>
    <t>GASTO-000051</t>
  </si>
  <si>
    <t>GASTO-000052</t>
  </si>
  <si>
    <t>GASTO-000053</t>
  </si>
  <si>
    <t>GASTO-000054</t>
  </si>
  <si>
    <t>GASTO-000055</t>
  </si>
  <si>
    <t>GASTO-000056</t>
  </si>
  <si>
    <t>GASTO-000057</t>
  </si>
  <si>
    <t>Crema de leche Alquería 400gr</t>
  </si>
  <si>
    <t>Pimentón kilo</t>
  </si>
  <si>
    <t>Cebolla blanca kilo</t>
  </si>
  <si>
    <t>Pechuga entera</t>
  </si>
  <si>
    <t>Paprika Special</t>
  </si>
  <si>
    <t>Soda Izots 17</t>
  </si>
  <si>
    <t>Zumo de uva</t>
  </si>
  <si>
    <t>Servilletas Favorita 300 uni</t>
  </si>
  <si>
    <t>Piña x kg</t>
  </si>
  <si>
    <t>Limón criollo</t>
  </si>
  <si>
    <t>Crema leche Alquería</t>
  </si>
  <si>
    <t>Leche Alquería</t>
  </si>
  <si>
    <t>Cebolla larga kilo</t>
  </si>
  <si>
    <t>Zanahoria kilo</t>
  </si>
  <si>
    <t>Tomate de aliño kilo</t>
  </si>
  <si>
    <t>02/09/2026</t>
  </si>
  <si>
    <t>04/09/2026</t>
  </si>
  <si>
    <t>05/09/2026</t>
  </si>
  <si>
    <t>06/09/2026</t>
  </si>
  <si>
    <t>GASTO-000058</t>
  </si>
  <si>
    <t>GASTO-000059</t>
  </si>
  <si>
    <t>GASTO-000060</t>
  </si>
  <si>
    <t>GASTO-000061</t>
  </si>
  <si>
    <t>GASTO-000062</t>
  </si>
  <si>
    <t>GASTO-000063</t>
  </si>
  <si>
    <t>GASTO-000064</t>
  </si>
  <si>
    <t>GASTO-000065</t>
  </si>
  <si>
    <t>GASTO-000066</t>
  </si>
  <si>
    <t>GASTO-000067</t>
  </si>
  <si>
    <t>GASTO-000068</t>
  </si>
  <si>
    <t>GASTO-000069</t>
  </si>
  <si>
    <t>GASTO-000070</t>
  </si>
  <si>
    <t>GASTO-000071</t>
  </si>
  <si>
    <t>GASTO-000072</t>
  </si>
  <si>
    <t>GASTO-000073</t>
  </si>
  <si>
    <t>GASTO-000074</t>
  </si>
  <si>
    <t>GASTO-000075</t>
  </si>
  <si>
    <t>GASTO-000076</t>
  </si>
  <si>
    <t>GASTO-000077</t>
  </si>
  <si>
    <t>GASTO-000078</t>
  </si>
  <si>
    <t>LI007</t>
  </si>
  <si>
    <t>Tequila trago</t>
  </si>
  <si>
    <t>Tequila</t>
  </si>
  <si>
    <t>09/09/2026</t>
  </si>
  <si>
    <t>11/09/2026</t>
  </si>
  <si>
    <t>GASTO-000079</t>
  </si>
  <si>
    <t>GASTO-000080</t>
  </si>
  <si>
    <t>GASTO-000081</t>
  </si>
  <si>
    <t>GASTO-000082</t>
  </si>
  <si>
    <t>GASTO-000083</t>
  </si>
  <si>
    <t>GASTO-000084</t>
  </si>
  <si>
    <t>GASTO-000085</t>
  </si>
  <si>
    <t>GASTO-000086</t>
  </si>
  <si>
    <t>GASTO-000087</t>
  </si>
  <si>
    <t>GASTO-000088</t>
  </si>
  <si>
    <t>Ajo kilo</t>
  </si>
  <si>
    <t>Crema de leche Alquería 850 gr</t>
  </si>
  <si>
    <t>Cebolla roja kilo</t>
  </si>
  <si>
    <t>Leche en polvo Colanta 900 gr</t>
  </si>
  <si>
    <t>Amaretto Ambrosia botella</t>
  </si>
  <si>
    <t>Mora congelada</t>
  </si>
  <si>
    <t>Carne Cáscara</t>
  </si>
  <si>
    <t>EVC1</t>
  </si>
  <si>
    <t>Evento comida 1</t>
  </si>
  <si>
    <t>Usma</t>
  </si>
  <si>
    <t>Jhony Mira</t>
  </si>
  <si>
    <t>Nikol</t>
  </si>
  <si>
    <t>Samara</t>
  </si>
  <si>
    <t>Camilo Bogotá</t>
  </si>
  <si>
    <t>Disel</t>
  </si>
  <si>
    <t>Amigo Isaac</t>
  </si>
  <si>
    <t>Estefany</t>
  </si>
  <si>
    <t>Aporte 1</t>
  </si>
  <si>
    <t>Aporte 2</t>
  </si>
  <si>
    <t>AP001</t>
  </si>
  <si>
    <t>AP002</t>
  </si>
  <si>
    <t>Cultura</t>
  </si>
  <si>
    <t>Andrea</t>
  </si>
  <si>
    <t>Rosa</t>
  </si>
  <si>
    <t>Felipe</t>
  </si>
  <si>
    <t>Angelo</t>
  </si>
  <si>
    <t>Samuel</t>
  </si>
  <si>
    <t>Alejandra</t>
  </si>
  <si>
    <t>Daniel</t>
  </si>
  <si>
    <t>Profe</t>
  </si>
  <si>
    <t>Felipe Trujillo</t>
  </si>
  <si>
    <t>Sor</t>
  </si>
  <si>
    <t>Pascuales</t>
  </si>
  <si>
    <t>Andrés</t>
  </si>
  <si>
    <t>Natalia Gafas</t>
  </si>
  <si>
    <t>Paulina</t>
  </si>
  <si>
    <t>Apertura</t>
  </si>
  <si>
    <t>Apertura de caja</t>
  </si>
  <si>
    <t>Banco</t>
  </si>
  <si>
    <t>Apertura de banco</t>
  </si>
  <si>
    <t>Venta</t>
  </si>
  <si>
    <t>Venta factura 000274</t>
  </si>
  <si>
    <t>Cierre</t>
  </si>
  <si>
    <t>Cierre de caja | Esperado: $ 102.350,00 | Diferencia: $ 0,00</t>
  </si>
  <si>
    <t>Cierre de banco | Esperado: $ 552.337,00 | Diferencia: $ 0,00</t>
  </si>
  <si>
    <t>Vicky</t>
  </si>
  <si>
    <t>David Ben</t>
  </si>
  <si>
    <t>Venta factura 000281</t>
  </si>
  <si>
    <t>Venta factura 000282</t>
  </si>
  <si>
    <t>Venta factura 000283</t>
  </si>
  <si>
    <t>Venta factura 000284</t>
  </si>
  <si>
    <t>Venta factura 000287</t>
  </si>
  <si>
    <t>Venta factura 000288</t>
  </si>
  <si>
    <t>Venta factura 000289</t>
  </si>
  <si>
    <t>Venta factura 000290</t>
  </si>
  <si>
    <t>Venta factura 000291</t>
  </si>
  <si>
    <t>Venta factura 000292</t>
  </si>
  <si>
    <t>Venta factura 000293</t>
  </si>
  <si>
    <t>pagado</t>
  </si>
  <si>
    <t>Novio Alexa</t>
  </si>
  <si>
    <t>Renato Amigo Alexa</t>
  </si>
  <si>
    <t>Daniel Grabacion Alexa</t>
  </si>
  <si>
    <t>Venta factura 300</t>
  </si>
  <si>
    <t>Venta factura 301</t>
  </si>
  <si>
    <t>Venta factura 298</t>
  </si>
  <si>
    <t>Venta factura 299</t>
  </si>
  <si>
    <t>Andreti</t>
  </si>
  <si>
    <t>pintoresca</t>
  </si>
  <si>
    <t>ce004</t>
  </si>
  <si>
    <t>Compra de Poker Cerveza</t>
  </si>
  <si>
    <t>Pintoresca</t>
  </si>
  <si>
    <t>Cierre de caja | Esperado: $ 347.050,00 | Diferencia: $ 0,00</t>
  </si>
  <si>
    <t>Cierre de banco | Esperado: $ 144.854,00 | Diferencia: $ 0,00</t>
  </si>
  <si>
    <t>Santi El Rasta</t>
  </si>
  <si>
    <t>Ajuste positivo</t>
  </si>
  <si>
    <t>Venta factura 309</t>
  </si>
  <si>
    <t>Venta factura 306</t>
  </si>
  <si>
    <t>Venta factura 310</t>
  </si>
  <si>
    <t>Venta factura 303</t>
  </si>
  <si>
    <t>Venta factura 296</t>
  </si>
  <si>
    <t>Venta factura 305</t>
  </si>
  <si>
    <t>Venta factura 308</t>
  </si>
  <si>
    <t>Venta factura 307</t>
  </si>
  <si>
    <t>Venta factura 313</t>
  </si>
  <si>
    <t>Venta factura 312</t>
  </si>
  <si>
    <t>Felipe Rojas</t>
  </si>
  <si>
    <t>Venta factura 000315</t>
  </si>
  <si>
    <t>Venta factura 314</t>
  </si>
  <si>
    <t>Venta factura 304</t>
  </si>
  <si>
    <t>Venta factura 297</t>
  </si>
  <si>
    <t>Compra de Chorizo</t>
  </si>
  <si>
    <t>Cierre de caja | Esperado: $ 315.750,00 | Diferencia: $ 181.500,00</t>
  </si>
  <si>
    <t>Cierre de banco | Esperado: $ 272.854,00 | Diferencia: $ 29.000,00</t>
  </si>
  <si>
    <t>Compra de Pokeron Cerveza</t>
  </si>
  <si>
    <t>Compra de Dorada Club Colombia</t>
  </si>
  <si>
    <t>Compra de Roja Club Colombia</t>
  </si>
  <si>
    <t>Venta factura 000316</t>
  </si>
  <si>
    <t>Juan Manuel (Toto)</t>
  </si>
  <si>
    <t>Amiga Felipe</t>
  </si>
  <si>
    <t>CACOL</t>
  </si>
  <si>
    <t>ColdBrew</t>
  </si>
  <si>
    <t>Venta factura 319</t>
  </si>
  <si>
    <t>Venta factura 323</t>
  </si>
  <si>
    <t>PAGADO</t>
  </si>
  <si>
    <t>Abono a factura 222</t>
  </si>
  <si>
    <t>Andrés Cadavid (ArtesMarciales)</t>
  </si>
  <si>
    <t>Alejo Facu</t>
  </si>
  <si>
    <t>Venta factura 327</t>
  </si>
  <si>
    <t>Daniel Familia</t>
  </si>
  <si>
    <t>Venta factura 324</t>
  </si>
  <si>
    <t>Venta factura 330</t>
  </si>
  <si>
    <t>Venta factura 326</t>
  </si>
  <si>
    <t>Venta factura 318</t>
  </si>
  <si>
    <t>Venta factura 317</t>
  </si>
  <si>
    <t>Venta factura 321</t>
  </si>
  <si>
    <t>Venta factura 320</t>
  </si>
  <si>
    <t>Venta factura 325</t>
  </si>
  <si>
    <t>Venta factura 000338</t>
  </si>
  <si>
    <t>Venta factura 336</t>
  </si>
  <si>
    <t>Venta factura 335</t>
  </si>
  <si>
    <t>Venta factura 322</t>
  </si>
  <si>
    <t>Venta factura 328</t>
  </si>
  <si>
    <t>Venta factura 332</t>
  </si>
  <si>
    <t>Venta factura 333</t>
  </si>
  <si>
    <t>Venta factura 340</t>
  </si>
  <si>
    <t>Venta factura 329</t>
  </si>
  <si>
    <t>Venta factura 302</t>
  </si>
  <si>
    <t>Venta factura 339</t>
  </si>
  <si>
    <t>Venta factura 000341</t>
  </si>
  <si>
    <t>Venta factura 334</t>
  </si>
  <si>
    <t>Venta factura 331</t>
  </si>
  <si>
    <t>Venta factura 342</t>
  </si>
  <si>
    <t>Venta factura 337</t>
  </si>
  <si>
    <t>Cierre de caja | Esperado: $ 875.500,00 | Diferencia: -$ 225.000,00</t>
  </si>
  <si>
    <t>Cierre de banco | Esperado: $ 473.854,00 | Diferencia: $ 33.000,00</t>
  </si>
  <si>
    <t>Compra de Trigo Club Colombia</t>
  </si>
  <si>
    <t>Compra de Ron trago</t>
  </si>
  <si>
    <t>GASTO-000089</t>
  </si>
  <si>
    <t>insumos</t>
  </si>
  <si>
    <t>Gasto - insumos</t>
  </si>
  <si>
    <t>Venta factura 343</t>
  </si>
  <si>
    <t>Venta factura 345</t>
  </si>
  <si>
    <t>Venta factura 347</t>
  </si>
  <si>
    <t>Venta factura 349</t>
  </si>
  <si>
    <t>Venta factura 348</t>
  </si>
  <si>
    <t>Venta factura 353</t>
  </si>
  <si>
    <t>Venta factura 350</t>
  </si>
  <si>
    <t>Venta factura 352</t>
  </si>
  <si>
    <t>Venta factura 344</t>
  </si>
  <si>
    <t>Venta factura 351</t>
  </si>
  <si>
    <t>Verónica</t>
  </si>
  <si>
    <t>Venta factura 346</t>
  </si>
  <si>
    <t>Venta factura 000354</t>
  </si>
  <si>
    <t>Cierre de caja | Esperado: $ 494.046,00 | Diferencia: $ 1.054,00</t>
  </si>
  <si>
    <t>Cierre de banco | Esperado: $ 495.934,00 | Diferencia: $ 0,00</t>
  </si>
  <si>
    <t>Venta factura 000357</t>
  </si>
  <si>
    <t>GASTO-000090</t>
  </si>
  <si>
    <t>Gasto - Lavadora</t>
  </si>
  <si>
    <t>GASTO-000091</t>
  </si>
  <si>
    <t>Gasto - cigarrillos</t>
  </si>
  <si>
    <t>GASTO-000092</t>
  </si>
  <si>
    <t>Gasto - Jabon Ropa</t>
  </si>
  <si>
    <t>GASTO-000093</t>
  </si>
  <si>
    <t>Gasto - Celular personal</t>
  </si>
  <si>
    <t>GASTO-000094</t>
  </si>
  <si>
    <t>Gasto - Youtube Premium</t>
  </si>
  <si>
    <t>GASTO-000095</t>
  </si>
  <si>
    <t>Gasto - Internet CO</t>
  </si>
  <si>
    <t>PRESTAMO-000001</t>
  </si>
  <si>
    <t>Préstamo otorgado - Marcela Ruiz</t>
  </si>
  <si>
    <t>PRESTAMO-000002</t>
  </si>
  <si>
    <t>GASTO-000096</t>
  </si>
  <si>
    <t>CRÉDITO PROVEEDOR</t>
  </si>
  <si>
    <t>Gasto - Café molido por libra</t>
  </si>
  <si>
    <t>Cierre de caja | Esperado: $ 140.789,00 | Diferencia: $ 187.811,00</t>
  </si>
  <si>
    <t>Cierre de banco | Esperado: -$ 70.937,00 | Diferencia: $ 267.330,00</t>
  </si>
  <si>
    <t>GASTO-000097</t>
  </si>
  <si>
    <t>Gasto - Transporte Dante</t>
  </si>
  <si>
    <t>Cierre de caja | Esperado: $ 354.600,00 | Diferencia: -$ 43.800,00</t>
  </si>
  <si>
    <t>Cierre de banco | Esperado: $ 279.393,00 | Diferencia: -$ 226.880,00</t>
  </si>
  <si>
    <t>Cierre de caja | Esperado: $ 468.800,00 | Diferencia: -$ 41.250,00</t>
  </si>
  <si>
    <t>Cierre de banco | Esperado: $ 172.743,00 | Diferencia: $ 29.257,00</t>
  </si>
  <si>
    <t>GASTO-000098</t>
  </si>
  <si>
    <t>Gasto - Aceitunas</t>
  </si>
  <si>
    <t>GASTO-000099</t>
  </si>
  <si>
    <t>Gasto - Leche, Arepas, Queso Mozzarella</t>
  </si>
  <si>
    <t>GASTO-000100</t>
  </si>
  <si>
    <t>Gasto - Leche en polvo, pan tajado</t>
  </si>
  <si>
    <t>GASTO-000101</t>
  </si>
  <si>
    <t>Gasto - Sodas</t>
  </si>
  <si>
    <t>GASTO-000102</t>
  </si>
  <si>
    <t>Gasto - Escoba</t>
  </si>
  <si>
    <t>Cierre de caja | Esperado: $ 512.554,00 | Diferencia: $ 143.696,00</t>
  </si>
  <si>
    <t>Cierre de banco | Esperado: $ 294.950,00 | Diferencia: -$ 89.623,00</t>
  </si>
  <si>
    <t>Wilson Patojos</t>
  </si>
  <si>
    <t>Lucho Jiu Jitsu</t>
  </si>
  <si>
    <t>Evelyn Porfirio</t>
  </si>
  <si>
    <t>Manuel Cartagena</t>
  </si>
  <si>
    <t>Alejandro Sinserant</t>
  </si>
  <si>
    <t>Stiven Sinserant</t>
  </si>
  <si>
    <t>Nibelia Sinserant</t>
  </si>
  <si>
    <t>Oscar Sinserant</t>
  </si>
  <si>
    <t>Diego Sinserant</t>
  </si>
  <si>
    <t>Paola Sinserant</t>
  </si>
  <si>
    <t>Vicky Viva</t>
  </si>
  <si>
    <t>Susana Ortega</t>
  </si>
  <si>
    <t>Amigo Alexander</t>
  </si>
  <si>
    <t>Julio Porfirio</t>
  </si>
  <si>
    <t>Manuela Villa</t>
  </si>
  <si>
    <t>Anduar</t>
  </si>
  <si>
    <t>Edgar Sinserant</t>
  </si>
  <si>
    <t>Geraldin</t>
  </si>
  <si>
    <t>Alejandra y Novio</t>
  </si>
  <si>
    <t>LI001.1</t>
  </si>
  <si>
    <t>Tinto de Verano</t>
  </si>
  <si>
    <t>Abono a factura 344</t>
  </si>
  <si>
    <t>Abono a factura 277</t>
  </si>
  <si>
    <t>Abono a factura 361</t>
  </si>
  <si>
    <t>Abono a factura 375</t>
  </si>
  <si>
    <t>Abono a factura 395</t>
  </si>
  <si>
    <t>Youtube Premium</t>
  </si>
  <si>
    <t>Internet CO</t>
  </si>
  <si>
    <t>Café molido por libra</t>
  </si>
  <si>
    <t>Transporte Dante</t>
  </si>
  <si>
    <t>Aceitunas</t>
  </si>
  <si>
    <t>Leche, Arepas, Queso Mozzarella</t>
  </si>
  <si>
    <t>Leche en polvo, pan tajado</t>
  </si>
  <si>
    <t>Sodas</t>
  </si>
  <si>
    <t>Escoba</t>
  </si>
  <si>
    <t>Marcela Ruiz</t>
  </si>
  <si>
    <t>OTORGADO</t>
  </si>
  <si>
    <t>Lavadora-Jabon-Cigarrilos</t>
  </si>
  <si>
    <t>Plan movil-Cuido Chimu</t>
  </si>
  <si>
    <t>DESEMBOLSO</t>
  </si>
  <si>
    <t>Venta factura 356</t>
  </si>
  <si>
    <t>Venta factura 000358</t>
  </si>
  <si>
    <t>Venta factura 000359</t>
  </si>
  <si>
    <t>Venta factura 366</t>
  </si>
  <si>
    <t>Venta factura 367</t>
  </si>
  <si>
    <t>Venta factura 360</t>
  </si>
  <si>
    <t>Venta factura 365</t>
  </si>
  <si>
    <t>Venta factura 362</t>
  </si>
  <si>
    <t>Venta factura 364</t>
  </si>
  <si>
    <t>Venta factura 368</t>
  </si>
  <si>
    <t>Venta factura 361</t>
  </si>
  <si>
    <t>Venta factura 363</t>
  </si>
  <si>
    <t>Venta factura 355</t>
  </si>
  <si>
    <t>Venta factura 369</t>
  </si>
  <si>
    <t>Venta factura 000379</t>
  </si>
  <si>
    <t>Venta factura 376</t>
  </si>
  <si>
    <t>Venta factura 372</t>
  </si>
  <si>
    <t>Venta factura 370</t>
  </si>
  <si>
    <t>Venta factura 384</t>
  </si>
  <si>
    <t>Venta factura 382</t>
  </si>
  <si>
    <t>Venta factura 380</t>
  </si>
  <si>
    <t>Venta factura 383</t>
  </si>
  <si>
    <t>Venta factura 381</t>
  </si>
  <si>
    <t>Venta factura 374</t>
  </si>
  <si>
    <t>Venta factura 371</t>
  </si>
  <si>
    <t>Venta factura 373</t>
  </si>
  <si>
    <t>Venta factura 378</t>
  </si>
  <si>
    <t>Venta factura 375</t>
  </si>
  <si>
    <t>Venta factura 392</t>
  </si>
  <si>
    <t>Venta factura 387</t>
  </si>
  <si>
    <t>Venta factura 390</t>
  </si>
  <si>
    <t>Venta factura 389</t>
  </si>
  <si>
    <t>Venta factura 388</t>
  </si>
  <si>
    <t>Venta factura 386</t>
  </si>
  <si>
    <t>Venta factura 393</t>
  </si>
  <si>
    <t>Venta factura 391</t>
  </si>
  <si>
    <t>Venta factura 000398</t>
  </si>
  <si>
    <t>Venta factura 000399</t>
  </si>
  <si>
    <t>Inventario inicial</t>
  </si>
  <si>
    <t>Existencia inicial al crear producto</t>
  </si>
  <si>
    <t>Venta factura 000402</t>
  </si>
  <si>
    <t>Venta factura 397</t>
  </si>
  <si>
    <t>Venta factura 394</t>
  </si>
  <si>
    <t>Venta factura 400</t>
  </si>
  <si>
    <t>Venta factura 401</t>
  </si>
  <si>
    <t>Venta factura 385</t>
  </si>
  <si>
    <t>Venta factura 403</t>
  </si>
  <si>
    <t>Venta factura 404</t>
  </si>
  <si>
    <t>Venta factura 396</t>
  </si>
  <si>
    <t>Venta factura 395</t>
  </si>
  <si>
    <t>Venta factura 405</t>
  </si>
  <si>
    <t>Venta factura 406</t>
  </si>
  <si>
    <t>Venta factura 414</t>
  </si>
  <si>
    <t>Venta factura 415</t>
  </si>
  <si>
    <t>Venta factura 412</t>
  </si>
  <si>
    <t>Venta factura 411</t>
  </si>
  <si>
    <t>Venta factura 416</t>
  </si>
  <si>
    <t>Venta factura 407</t>
  </si>
  <si>
    <t>Venta factura 409</t>
  </si>
  <si>
    <t>Venta factura 418</t>
  </si>
  <si>
    <t>Venta factura 410</t>
  </si>
  <si>
    <t>Venta factura 421</t>
  </si>
  <si>
    <t>Venta factura 000426</t>
  </si>
  <si>
    <t>Venta factura 428</t>
  </si>
  <si>
    <t>Venta factura 425</t>
  </si>
  <si>
    <t>Venta factura 423</t>
  </si>
  <si>
    <t>Venta factura 420</t>
  </si>
  <si>
    <t>Venta factura 424</t>
  </si>
  <si>
    <t>Venta factura 422</t>
  </si>
  <si>
    <t>Venta factura 417</t>
  </si>
  <si>
    <t>Venta factura 413</t>
  </si>
  <si>
    <t>Venta factura 429</t>
  </si>
  <si>
    <t>Venta factura 427</t>
  </si>
  <si>
    <t>Venta factura 430</t>
  </si>
  <si>
    <t>Venta factura 419</t>
  </si>
  <si>
    <t>Venta factura 408</t>
  </si>
  <si>
    <t>Venta factura 431</t>
  </si>
  <si>
    <t>Alejandro Otro</t>
  </si>
  <si>
    <t>Pingui</t>
  </si>
  <si>
    <t>Paula Montoya</t>
  </si>
  <si>
    <t>Abono a factura 210</t>
  </si>
  <si>
    <t>Abono a factura 230</t>
  </si>
  <si>
    <t>Abono a factura 382</t>
  </si>
  <si>
    <t>Abono a factura 357</t>
  </si>
  <si>
    <t>Mariana Papalotl</t>
  </si>
  <si>
    <t>Diana Mamá Mariana</t>
  </si>
  <si>
    <t>Abono a factura 355</t>
  </si>
  <si>
    <t>Carolina Jiu Jitstu</t>
  </si>
  <si>
    <t>Victor Entreno</t>
  </si>
  <si>
    <t>Kleider</t>
  </si>
  <si>
    <t>Alexandra</t>
  </si>
  <si>
    <t>Kevin Jujitsu</t>
  </si>
  <si>
    <t>Kevin Manco</t>
  </si>
  <si>
    <t>GASTO-000103</t>
  </si>
  <si>
    <t>LyM</t>
  </si>
  <si>
    <t>GASTO-000104</t>
  </si>
  <si>
    <t>Maicitos</t>
  </si>
  <si>
    <t>GASTO-000105</t>
  </si>
  <si>
    <t>Crema de leche-Pimenton-</t>
  </si>
  <si>
    <t>GASTO-000106</t>
  </si>
  <si>
    <t>sodas-mora-pollo</t>
  </si>
  <si>
    <t>Venta factura 000433</t>
  </si>
  <si>
    <t>Venta factura 436</t>
  </si>
  <si>
    <t>Venta factura 434</t>
  </si>
  <si>
    <t>Venta factura 440</t>
  </si>
  <si>
    <t>Venta factura 437</t>
  </si>
  <si>
    <t>Venta factura 438</t>
  </si>
  <si>
    <t>Venta factura 443</t>
  </si>
  <si>
    <t>Venta factura 442</t>
  </si>
  <si>
    <t>Venta factura 444</t>
  </si>
  <si>
    <t>Venta factura 441</t>
  </si>
  <si>
    <t>Venta factura 445</t>
  </si>
  <si>
    <t>Venta factura 000447</t>
  </si>
  <si>
    <t>Venta factura 446</t>
  </si>
  <si>
    <t>Venta factura 432</t>
  </si>
  <si>
    <t>Venta factura 435</t>
  </si>
  <si>
    <t>Venta factura 439</t>
  </si>
  <si>
    <t>Venta factura 000448</t>
  </si>
  <si>
    <t>Venta factura 000451</t>
  </si>
  <si>
    <t>Venta factura 452</t>
  </si>
  <si>
    <t>Venta factura 455</t>
  </si>
  <si>
    <t>Venta factura 459</t>
  </si>
  <si>
    <t>Venta factura 457</t>
  </si>
  <si>
    <t>Venta factura 454</t>
  </si>
  <si>
    <t>Venta factura 456</t>
  </si>
  <si>
    <t>Venta factura 453</t>
  </si>
  <si>
    <t>Venta factura 449</t>
  </si>
  <si>
    <t>Venta factura 458</t>
  </si>
  <si>
    <t>Venta factura 450</t>
  </si>
  <si>
    <t>Cierre de caja | Esperado: $ 656.250,00 | Diferencia: -$ 137.600,00</t>
  </si>
  <si>
    <t>Cierre de banco | Esperado: $ 242.727,00 | Diferencia: -$ 119.813,00</t>
  </si>
  <si>
    <t>Gasto - LyM</t>
  </si>
  <si>
    <t>Gasto - Maicitos</t>
  </si>
  <si>
    <t>Compra de Cigarrillo +</t>
  </si>
  <si>
    <t>Cierre de caja | Esperado: $ 466.590,00 | Diferencia: -$ 46.840,00</t>
  </si>
  <si>
    <t>Cierre de banco | Esperado: $ 337.474,00 | Diferencia: $ 20.526,00</t>
  </si>
  <si>
    <t>Compra de Pilsen Cerveza</t>
  </si>
  <si>
    <t>Compra de Cigarrillo -</t>
  </si>
  <si>
    <t>Gasto - Crema de leche-Pimenton-</t>
  </si>
  <si>
    <t>Gasto - sodas-mora-pollo</t>
  </si>
  <si>
    <t>Compra de Michelada Soda</t>
  </si>
  <si>
    <t>REPORTE DE CUENTAS POR COBRAR</t>
  </si>
  <si>
    <t>Cuentas por cobrar</t>
  </si>
  <si>
    <t>Abonado</t>
  </si>
  <si>
    <t>TOTAL POR COBRAR:</t>
  </si>
  <si>
    <t>Daniel Fuma</t>
  </si>
  <si>
    <t>Ashly Sevilla</t>
  </si>
  <si>
    <t>Diana JiuJitsu</t>
  </si>
  <si>
    <t>Nato</t>
  </si>
  <si>
    <t>LI008</t>
  </si>
  <si>
    <t>Amaretto trago</t>
  </si>
  <si>
    <t>Cierre de caja | Esperado: $ 152.329,00 | Diferencia: $ 296.621,00</t>
  </si>
  <si>
    <t>Cierre de banco | Esperado: $ 543.200,00 | Diferencia: -$ 340.200,00</t>
  </si>
  <si>
    <t>GASTO-000107</t>
  </si>
  <si>
    <t>Gasto - Limones-Pan Tajado-Queso Mozzarella-Naranja-Uva</t>
  </si>
  <si>
    <t>GASTO-000108</t>
  </si>
  <si>
    <t>Gasto - Camiseta faber-Gastos Personales Marce</t>
  </si>
  <si>
    <t>Cierre de caja | Esperado: $ 607.950,00 | Diferencia: -$ 95.600,00</t>
  </si>
  <si>
    <t>Cierre de banco | Esperado: $ 442.000,00 | Diferencia: -$ 57.000,00</t>
  </si>
  <si>
    <t>GASTO-000109</t>
  </si>
  <si>
    <t>Gasto - pan-Cebolla-Pollo-Crema de Leche-Pimentones</t>
  </si>
  <si>
    <t>Limones-Pan Tajado-Queso Mozzarella-Naranja-Uva</t>
  </si>
  <si>
    <t>Camiseta faber-Gastos Personales Marce</t>
  </si>
  <si>
    <t>pan-Cebolla-Pollo-Crema de Leche-Pimentones</t>
  </si>
  <si>
    <t>Venta factura 467</t>
  </si>
  <si>
    <t>Venta factura 464</t>
  </si>
  <si>
    <t>Venta factura 468</t>
  </si>
  <si>
    <t>Venta factura 465</t>
  </si>
  <si>
    <t>Venta factura 466</t>
  </si>
  <si>
    <t>Venta factura 470</t>
  </si>
  <si>
    <t>Venta factura 471</t>
  </si>
  <si>
    <t>Venta factura 469</t>
  </si>
  <si>
    <t>Venta factura 472</t>
  </si>
  <si>
    <t>Venta factura 463</t>
  </si>
  <si>
    <t>Venta factura 473</t>
  </si>
  <si>
    <t>Venta factura 474</t>
  </si>
  <si>
    <t>Venta factura 475</t>
  </si>
  <si>
    <t>Venta factura 460</t>
  </si>
  <si>
    <t>Venta factura 477</t>
  </si>
  <si>
    <t>Venta factura 479</t>
  </si>
  <si>
    <t>Venta factura 476</t>
  </si>
  <si>
    <t>Venta factura 478</t>
  </si>
  <si>
    <t>Venta factura 461</t>
  </si>
  <si>
    <t>Venta factura 462</t>
  </si>
  <si>
    <t>Venta factura 483</t>
  </si>
  <si>
    <t>Venta factura 482</t>
  </si>
  <si>
    <t>Alejo Santo</t>
  </si>
  <si>
    <t>Sara Santo</t>
  </si>
  <si>
    <t>Mariana</t>
  </si>
  <si>
    <t>Erics Psico</t>
  </si>
  <si>
    <t>Francia</t>
  </si>
  <si>
    <t>Julian Restrepo</t>
  </si>
  <si>
    <t>Abono a factura 505</t>
  </si>
  <si>
    <t>OTRO-000001</t>
  </si>
  <si>
    <t>ENTRADA</t>
  </si>
  <si>
    <t>Donación recibida</t>
  </si>
  <si>
    <t>Equpo Muay Thai</t>
  </si>
  <si>
    <t>Venta factura 484</t>
  </si>
  <si>
    <t>Venta factura 480</t>
  </si>
  <si>
    <t>Venta factura 485</t>
  </si>
  <si>
    <t>Venta factura 488</t>
  </si>
  <si>
    <t>Venta factura 489</t>
  </si>
  <si>
    <t>Venta factura 486</t>
  </si>
  <si>
    <t>Venta factura 487</t>
  </si>
  <si>
    <t>Venta factura 481</t>
  </si>
  <si>
    <t>Venta factura 000490</t>
  </si>
  <si>
    <t>Venta factura 000491</t>
  </si>
  <si>
    <t>Venta factura 000509</t>
  </si>
  <si>
    <t>Venta factura 000510</t>
  </si>
  <si>
    <t>Venta factura 506</t>
  </si>
  <si>
    <t>Venta factura 517</t>
  </si>
  <si>
    <t>Venta factura 513</t>
  </si>
  <si>
    <t>Venta factura 514</t>
  </si>
  <si>
    <t>Venta factura 501</t>
  </si>
  <si>
    <t>Venta factura 499</t>
  </si>
  <si>
    <t>Venta factura 520</t>
  </si>
  <si>
    <t>Venta factura 507</t>
  </si>
  <si>
    <t>Venta factura 000521</t>
  </si>
  <si>
    <t>Venta factura 508</t>
  </si>
  <si>
    <t>Venta factura 519</t>
  </si>
  <si>
    <t>Venta factura 516</t>
  </si>
  <si>
    <t>Venta factura 515</t>
  </si>
  <si>
    <t>Venta factura 498</t>
  </si>
  <si>
    <t>Venta factura 518</t>
  </si>
  <si>
    <t>Venta factura 000523</t>
  </si>
  <si>
    <t>Venta factura 505</t>
  </si>
  <si>
    <t>Venta factura 511</t>
  </si>
  <si>
    <t>Venta factura 000525</t>
  </si>
  <si>
    <t>Venta factura 524</t>
  </si>
  <si>
    <t>Venta factura 522</t>
  </si>
  <si>
    <t>Venta factura 512</t>
  </si>
  <si>
    <t>Venta factura 500</t>
  </si>
  <si>
    <t>Venta factura 502</t>
  </si>
  <si>
    <t>Venta factura 503</t>
  </si>
  <si>
    <t>Venta factura 504</t>
  </si>
  <si>
    <t>Efectivo + Transferencia</t>
  </si>
  <si>
    <t>Venta factura 000526</t>
  </si>
  <si>
    <t>Kim</t>
  </si>
  <si>
    <t>Rafael</t>
  </si>
  <si>
    <t>Cierre de caja | Esperado: $ 597.350,00 | Diferencia: -$ 70.650,00</t>
  </si>
  <si>
    <t>Cierre de banco | Esperado: $ 421.800,00 | Diferencia: -$ 421.800,00</t>
  </si>
  <si>
    <t>Donación recibida - Equpo Muay Thai</t>
  </si>
  <si>
    <t>Cierre de caja | Esperado: $ 939.700,00 | Diferencia: $ 63.800,00</t>
  </si>
  <si>
    <t>Cierre de banco | Esperado: $ 573.280,00 | Diferencia: $ 195.720,00</t>
  </si>
  <si>
    <t>GASTO-000110</t>
  </si>
  <si>
    <t>Compra de Aguila ligth Cerveza</t>
  </si>
  <si>
    <t>Venta factura 000533</t>
  </si>
  <si>
    <t>Venta factura 531</t>
  </si>
  <si>
    <t>Venta factura 529</t>
  </si>
  <si>
    <t>Venta factura 530</t>
  </si>
  <si>
    <t>Venta factura 528</t>
  </si>
  <si>
    <t>Venta factura 526</t>
  </si>
  <si>
    <t>Santiago</t>
  </si>
  <si>
    <t>Sanduche vegano - vegetariano</t>
  </si>
  <si>
    <t>M001.1</t>
  </si>
  <si>
    <t>Venta factura 527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</si>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</sst>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.00_);\(&quot;$&quot;#,##0.00\)"/>
    <numFmt numFmtId="165" formatCode="_(&quot;$&quot;* #,##0.00_);_(&quot;$&quot;* \(#,##0.00\);_(&quot;$&quot;* &quot;-&quot;??_);_(@_)"/>
    <numFmt numFmtId="166" formatCode="&quot;$&quot;#,##0_);\(&quot;$&quot;#,##0\)"/>
    <numFmt numFmtId="167" formatCode="&quot;$&quot;\ #,##0"/>
    <numFmt numFmtId="168" formatCode="m/d/yyyy"/>
    <numFmt numFmtId="169" formatCode="&quot;$&quot;#,##0.00"/>
    <numFmt numFmtId="170" formatCode="dd/mm/yyyy\ hh:mm"/>
    <numFmt numFmtId="171" formatCode="hh:mm:ss"/>
    <numFmt numFmtId="172" formatCode="_-&quot;$&quot;\ * #,##0_-;\-&quot;$&quot;\ * #,##0_-;_-&quot;$&quot;\ * &quot;-&quot;??_-;_-@_-"/>
    <numFmt numFmtId="173" formatCode="&quot;$&quot;#,##0"/>
    <numFmt numFmtId="174" formatCode="dd/mm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5" fontId="6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/>
    <xf numFmtId="18" fontId="0" fillId="0" borderId="0" xfId="0" applyNumberFormat="1"/>
    <xf numFmtId="0" fontId="0" fillId="0" borderId="0" xfId="0" quotePrefix="1"/>
    <xf numFmtId="16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7" fontId="0" fillId="0" borderId="0" xfId="0" applyNumberFormat="1" applyAlignment="1">
      <alignment horizontal="right" vertic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vertical="center"/>
    </xf>
    <xf numFmtId="167" fontId="1" fillId="0" borderId="0" xfId="0" applyNumberFormat="1" applyFont="1"/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72" fontId="0" fillId="0" borderId="0" xfId="2" applyNumberFormat="1" applyFont="1" applyAlignment="1">
      <alignment horizontal="right" vertical="center" wrapText="1"/>
    </xf>
    <xf numFmtId="49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horizontal="center" vertical="center"/>
    </xf>
    <xf numFmtId="1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71" fontId="0" fillId="0" borderId="0" xfId="0" applyNumberFormat="1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19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14" fontId="0" fillId="4" borderId="12" xfId="0" applyNumberFormat="1" applyFill="1" applyBorder="1" applyAlignment="1">
      <alignment horizontal="center" vertical="center"/>
    </xf>
    <xf numFmtId="169" fontId="0" fillId="0" borderId="0" xfId="0" applyNumberFormat="1"/>
    <xf numFmtId="14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13" xfId="0" applyNumberFormat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173" fontId="0" fillId="0" borderId="0" xfId="0" applyNumberFormat="1" applyAlignment="1">
      <alignment horizontal="center" vertical="center" wrapText="1"/>
    </xf>
    <xf numFmtId="167" fontId="0" fillId="0" borderId="13" xfId="0" applyNumberFormat="1" applyBorder="1" applyAlignment="1">
      <alignment horizontal="center" vertical="center" wrapText="1"/>
    </xf>
    <xf numFmtId="167" fontId="0" fillId="0" borderId="14" xfId="0" applyNumberFormat="1" applyBorder="1" applyAlignment="1">
      <alignment horizontal="center" vertical="center" wrapText="1"/>
    </xf>
    <xf numFmtId="0" fontId="7" fillId="0" borderId="0" xfId="0" applyFont="1"/>
    <xf numFmtId="174" fontId="7" fillId="0" borderId="0" xfId="0" applyNumberFormat="1" applyFont="1"/>
    <xf numFmtId="173" fontId="7" fillId="0" borderId="0" xfId="0" applyNumberFormat="1" applyFont="1"/>
    <xf numFmtId="170" fontId="0" fillId="0" borderId="0" xfId="0" applyNumberFormat="1"/>
    <xf numFmtId="0" fontId="9" fillId="3" borderId="0" xfId="0" applyFont="1" applyFill="1"/>
    <xf numFmtId="168" fontId="0" fillId="0" borderId="0" xfId="0" applyNumberFormat="1" applyAlignment="1">
      <alignment vertical="center" wrapText="1"/>
    </xf>
    <xf numFmtId="17" fontId="7" fillId="0" borderId="0" xfId="0" applyNumberFormat="1" applyFont="1"/>
    <xf numFmtId="0" fontId="8" fillId="0" borderId="0" xfId="0" applyFont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118">
    <dxf>
      <font>
        <b val="0"/>
      </font>
      <alignment horizontal="center" vertical="center" textRotation="0" wrapText="1" indent="0" justifyLastLine="0" shrinkToFit="0" readingOrder="0"/>
    </dxf>
    <dxf>
      <numFmt numFmtId="173" formatCode="&quot;$&quot;#,##0"/>
      <alignment horizontal="center" vertical="center" textRotation="0" wrapText="1" indent="0" justifyLastLine="0" shrinkToFit="0" readingOrder="0"/>
    </dxf>
    <dxf>
      <numFmt numFmtId="173" formatCode="&quot;$&quot;#,##0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24" formatCode="h:mm:ss\ AM/PM"/>
      <alignment horizontal="center" vertical="center" textRotation="0" wrapText="1" indent="0" justifyLastLine="0" shrinkToFit="0" readingOrder="0"/>
    </dxf>
    <dxf>
      <font>
        <b val="0"/>
      </font>
      <numFmt numFmtId="168" formatCode="m/d/yyyy"/>
      <alignment horizontal="general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_);\(&quot;$&quot;#,##0.00\)"/>
      <alignment horizontal="center" vertical="center" textRotation="0" wrapText="0" indent="0" justifyLastLine="0" shrinkToFit="0" readingOrder="0"/>
    </dxf>
    <dxf>
      <numFmt numFmtId="164" formatCode="&quot;$&quot;#,##0.00_);\(&quot;$&quot;#,##0.00\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4" formatCode="h:mm:ss\ AM/PM"/>
      <alignment horizontal="center" vertical="center" textRotation="0" wrapText="0" indent="0" justifyLastLine="0" shrinkToFit="0" readingOrder="0"/>
    </dxf>
    <dxf>
      <numFmt numFmtId="168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_);\(&quot;$&quot;#,##0.00\)"/>
      <alignment horizontal="center" vertical="center" textRotation="0" wrapText="0" indent="0" justifyLastLine="0" shrinkToFit="0" readingOrder="0"/>
    </dxf>
    <dxf>
      <numFmt numFmtId="164" formatCode="&quot;$&quot;#,##0.00_);\(&quot;$&quot;#,##0.00\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4" formatCode="h:mm:ss\ AM/PM"/>
      <alignment horizontal="center" vertical="center" textRotation="0" wrapText="0" indent="0" justifyLastLine="0" shrinkToFit="0" readingOrder="0"/>
    </dxf>
    <dxf>
      <numFmt numFmtId="168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169" formatCode="&quot;$&quot;#,##0.00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171" formatCode="hh:mm:ss"/>
      <alignment horizontal="center" vertical="center" textRotation="0" wrapText="1" indent="0" justifyLastLine="0" shrinkToFit="0" readingOrder="0"/>
    </dxf>
    <dxf>
      <font>
        <b val="0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9" formatCode="&quot;$&quot;#,##0.0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hh:mm:ss"/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72" formatCode="_-&quot;$&quot;\ * #,##0_-;\-&quot;$&quot;\ * #,##0_-;_-&quot;$&quot;\ * &quot;-&quot;??_-;_-@_-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72" formatCode="_-&quot;$&quot;\ * #,##0_-;\-&quot;$&quot;\ * #,##0_-;_-&quot;$&quot;\ * &quot;-&quot;??_-;_-@_-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167" formatCode="&quot;$&quot;\ #,##0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168" formatCode="m/d/yyyy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24" formatCode="h:mm:ss\ AM/PM"/>
      <alignment horizontal="center" vertical="center" textRotation="0" wrapText="1" indent="0" justifyLastLine="0" shrinkToFit="0" readingOrder="0"/>
    </dxf>
    <dxf>
      <font>
        <b val="0"/>
      </font>
      <numFmt numFmtId="168" formatCode="m/d/yyyy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</font>
      <numFmt numFmtId="173" formatCode="&quot;$&quot;#,##0"/>
      <alignment horizontal="center" vertical="center" textRotation="0" wrapText="1" indent="0" justifyLastLine="0" shrinkToFit="0" readingOrder="0"/>
    </dxf>
    <dxf>
      <font>
        <b val="0"/>
      </font>
      <numFmt numFmtId="173" formatCode="&quot;$&quot;#,##0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color rgb="FF000000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color rgb="FF000000"/>
      </font>
      <numFmt numFmtId="169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color rgb="FF000000"/>
      </font>
      <numFmt numFmtId="169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color rgb="FF000000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color rgb="FF000000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color rgb="FF000000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color rgb="FF000000"/>
      </font>
      <numFmt numFmtId="171" formatCode="hh:mm:ss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color rgb="FF000000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color rgb="FF000000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</font>
      <numFmt numFmtId="164" formatCode="&quot;$&quot;#,##0.00_);\(&quot;$&quot;#,##0.00\)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166" formatCode="&quot;$&quot;#,##0_);\(&quot;$&quot;#,##0\)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numFmt numFmtId="25" formatCode="h:mm"/>
      <alignment horizontal="center" vertical="center" textRotation="0" wrapText="1" indent="0" justifyLastLine="0" shrinkToFit="0" readingOrder="0"/>
    </dxf>
    <dxf>
      <font>
        <b val="0"/>
      </font>
      <numFmt numFmtId="168" formatCode="m/d/yyyy"/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</xdr:colOff>
      <xdr:row>0</xdr:row>
      <xdr:rowOff>121920</xdr:rowOff>
    </xdr:from>
    <xdr:to>
      <xdr:col>3</xdr:col>
      <xdr:colOff>838200</xdr:colOff>
      <xdr:row>4</xdr:row>
      <xdr:rowOff>175260</xdr:rowOff>
    </xdr:to>
    <xdr:pic>
      <xdr:nvPicPr>
        <xdr:cNvPr id="2" name="Imagen 1" descr="Foto del perfil de casiobsceno9">
          <a:extLst>
            <a:ext uri="{FF2B5EF4-FFF2-40B4-BE49-F238E27FC236}">
              <a16:creationId xmlns:a16="http://schemas.microsoft.com/office/drawing/2014/main" id="{5198E643-40DA-4A19-E561-1C9F66EFA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0840" y="121920"/>
          <a:ext cx="792480" cy="792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9E5561-76DC-461A-BD8B-7893E142139F}" name="tblFacturas" displayName="tblFacturas" ref="A1:H534" totalsRowShown="0" headerRowDxfId="117" dataDxfId="116">
  <autoFilter ref="A1:H534" xr:uid="{ED9E5561-76DC-461A-BD8B-7893E142139F}"/>
  <tableColumns count="8">
    <tableColumn id="1" xr3:uid="{2A4D83C6-7FB2-41A1-9089-7CC17B6D14BF}" name="Factura" dataDxfId="115"/>
    <tableColumn id="2" xr3:uid="{FA44F073-5566-4559-AFD7-8BA583EDD85E}" name="Fecha" dataDxfId="114"/>
    <tableColumn id="3" xr3:uid="{7417061E-F280-4C87-96D0-9977178A38D4}" name="Hora" dataDxfId="113"/>
    <tableColumn id="4" xr3:uid="{38E54795-565F-4241-A2BA-515FF82911BB}" name="Cliente" dataDxfId="112"/>
    <tableColumn id="7" xr3:uid="{37E16C29-EB4B-4078-A518-2DBB7F6BD1C5}" name="Total" dataDxfId="111"/>
    <tableColumn id="6" xr3:uid="{FA8CCA6E-EC09-4D5E-9A3D-69372B25874F}" name="Forma de pago" dataDxfId="110"/>
    <tableColumn id="5" xr3:uid="{A05C56FA-0F6F-44B9-8B40-AFF85544F146}" name="Estado" dataDxfId="109"/>
    <tableColumn id="8" xr3:uid="{D4CCD7A3-9064-4979-ACDB-FF7E44C5AC15}" name="Saldo" dataDxfId="10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A40B4F-F89A-44AE-99F3-035203B08726}" name="tblClientes" displayName="tblClientes" ref="A1:G136" totalsRowShown="0" headerRowDxfId="107" dataDxfId="106">
  <autoFilter ref="A1:G136" xr:uid="{6DA40B4F-F89A-44AE-99F3-035203B08726}"/>
  <tableColumns count="7">
    <tableColumn id="1" xr3:uid="{467186EB-FDCD-423A-AF22-17ABE9401F91}" name="IdCliente" dataDxfId="105"/>
    <tableColumn id="2" xr3:uid="{6A05268B-D06F-4C52-9C72-7A83669F2A43}" name="Nombre" dataDxfId="104"/>
    <tableColumn id="3" xr3:uid="{EF2CBE27-4248-4EAC-949E-423700253C21}" name="Teléfono" dataDxfId="103"/>
    <tableColumn id="5" xr3:uid="{6D2385AD-AA68-47AD-A1A2-BA77F5ACFF38}" name="Correo" dataDxfId="102"/>
    <tableColumn id="6" xr3:uid="{19317584-F6D5-40FD-9E2F-78FC2228C5F2}" name="Instagram" dataDxfId="101"/>
    <tableColumn id="4" xr3:uid="{69763C92-F5BC-41AF-BC04-6266C2B2993E}" name="Observaciones" dataDxfId="100"/>
    <tableColumn id="7" xr3:uid="{54987DD4-A7D2-4B21-9D9F-612E275D81D5}" name="Documento" dataDxfId="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52F88B-FFEF-42C7-BEC3-394EC006F897}" name="tblCaja" displayName="tblCaja" ref="A1:H113" totalsRowShown="0" headerRowDxfId="98" dataDxfId="96" headerRowBorderDxfId="97" tableBorderDxfId="95">
  <autoFilter ref="A1:H113" xr:uid="{F5A8DCF7-6B4B-4565-9B6C-680757A46C21}"/>
  <tableColumns count="8">
    <tableColumn id="1" xr3:uid="{8EE4FC0A-1C5A-44AD-9347-9E99D81D678A}" name="Fecha" dataDxfId="94"/>
    <tableColumn id="2" xr3:uid="{FE1F30F2-772F-46C5-A471-D1ECD1F23296}" name="Hora" dataDxfId="93"/>
    <tableColumn id="3" xr3:uid="{35405EDE-7D30-403D-8179-827E408B5078}" name="Tipo" dataDxfId="92"/>
    <tableColumn id="4" xr3:uid="{FF8E0411-E8E6-4CC0-9F81-C3E4E0EA64CF}" name="Referencia" dataDxfId="91"/>
    <tableColumn id="5" xr3:uid="{51F3C41D-AFB9-4261-AA09-9E95B1DC6306}" name="Forma de pago" dataDxfId="90"/>
    <tableColumn id="6" xr3:uid="{27B52265-554B-4310-807E-D1507CFDB40D}" name="Entrada" dataDxfId="89"/>
    <tableColumn id="7" xr3:uid="{36AF244B-EE06-4067-A0B5-B1DCA3349B3C}" name="Salida" dataDxfId="88"/>
    <tableColumn id="8" xr3:uid="{A91F6E64-17D6-4AD3-9CE3-7361AD44FDC1}" name="Observación" dataDxfId="8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B05680-0572-43E1-9112-5FF26F049FEE}" name="tblDetalle" displayName="tblDetalle" ref="A1:G1143" totalsRowShown="0" headerRowDxfId="86" dataDxfId="85">
  <autoFilter ref="A1:G1143" xr:uid="{61B05680-0572-43E1-9112-5FF26F049FEE}"/>
  <tableColumns count="7">
    <tableColumn id="1" xr3:uid="{1EF98ACF-6B75-40F6-BC04-25DCDB8541CC}" name="Factura" dataDxfId="84"/>
    <tableColumn id="2" xr3:uid="{C94A8C26-2657-4A51-A0FA-B76C3F5DA006}" name="Item" dataDxfId="83"/>
    <tableColumn id="3" xr3:uid="{3A01B312-531B-440F-85C6-1C00802AA294}" name="Código" dataDxfId="82"/>
    <tableColumn id="4" xr3:uid="{CEFC0E4D-47CE-4760-88A1-A09337A67398}" name="Producto" dataDxfId="81"/>
    <tableColumn id="5" xr3:uid="{D6372C9C-1522-4C5D-9B00-88638D53538B}" name="Cantidad" dataDxfId="80"/>
    <tableColumn id="6" xr3:uid="{A88F3E1D-8681-4ADE-A18B-B5EFCD4B1DC7}" name="Precio" dataDxfId="79"/>
    <tableColumn id="7" xr3:uid="{8AF8C25F-B11D-4D70-8E8F-5587C25AF91B}" name="Subtotal" dataDxfId="7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C95199-D0F3-4958-99DC-2A58E333C921}" name="tblPagos" displayName="tblPagos" ref="A1:H489" totalsRowShown="0" headerRowDxfId="77" dataDxfId="76">
  <autoFilter ref="A1:H489" xr:uid="{F9C95199-D0F3-4958-99DC-2A58E333C921}"/>
  <tableColumns count="8">
    <tableColumn id="1" xr3:uid="{342A1B13-62FE-48AD-97BD-D08FF36DF798}" name="Fecha" dataDxfId="75"/>
    <tableColumn id="5" xr3:uid="{F284831E-FD56-4C14-A8A2-89F7CFC604B3}" name="Hora" dataDxfId="74"/>
    <tableColumn id="8" xr3:uid="{5EBA707D-0A9D-4388-B640-00D5545A136C}" name="Factura" dataDxfId="73"/>
    <tableColumn id="2" xr3:uid="{AD0D373D-8D9A-4B12-B921-AF21407E1C5C}" name="Cliente" dataDxfId="72"/>
    <tableColumn id="3" xr3:uid="{7285D3AB-9303-470E-80D5-D50C888B1251}" name="Forma de pago" dataDxfId="71"/>
    <tableColumn id="4" xr3:uid="{EC29EF19-1DD4-457D-8AFA-4B12EE015F4E}" name="Valor" dataDxfId="70"/>
    <tableColumn id="6" xr3:uid="{915E36E4-0C1F-43E6-85B5-E3A7A318B047}" name="Estado" dataDxfId="69"/>
    <tableColumn id="7" xr3:uid="{C9F8B702-9164-40F4-B75F-78DC28E8CE21}" name="Observaciones" dataDxfId="6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E99A66-2DBB-4CEF-9659-9B630BF69F47}" name="tblProductos" displayName="tblProductos" ref="A1:I46" totalsRowShown="0" headerRowDxfId="67" dataDxfId="66">
  <autoFilter ref="A1:I46" xr:uid="{D7E99A66-2DBB-4CEF-9659-9B630BF69F47}"/>
  <tableColumns count="9">
    <tableColumn id="1" xr3:uid="{AA76A036-F319-40CE-A7C8-37A6CA6FFC33}" name="Código" dataDxfId="65"/>
    <tableColumn id="2" xr3:uid="{53BD4369-5920-49E0-A1D6-B8648EAD57C8}" name="Producto" dataDxfId="64"/>
    <tableColumn id="3" xr3:uid="{AE34603C-8BA1-4636-9E1B-15479F65F9F7}" name="Categoría" dataDxfId="63"/>
    <tableColumn id="4" xr3:uid="{88E12A4E-9C48-49F1-A566-5878BFA654A5}" name="Precio Venta" dataDxfId="62" dataCellStyle="Moneda"/>
    <tableColumn id="6" xr3:uid="{FB71BE5B-757B-4265-907C-28344B78D328}" name="IVA" dataDxfId="61"/>
    <tableColumn id="7" xr3:uid="{D0C39BB4-A0A8-4DE2-AC02-EB357D3C0017}" name="Costo" dataDxfId="60" dataCellStyle="Moneda"/>
    <tableColumn id="8" xr3:uid="{E0E19FDD-9D4F-4892-BE86-C539C4D693B2}" name="Existencias" dataDxfId="59"/>
    <tableColumn id="9" xr3:uid="{F135C237-8A54-43B7-826A-6C3BCE1EEBB1}" name="Stock mínimo" dataDxfId="58"/>
    <tableColumn id="5" xr3:uid="{05D70253-95C1-4887-870A-A47D5056E5B6}" name="Activo" dataDxfId="5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9DDC5E1-283F-44BB-BABF-6A283E0FA9A0}" name="tblGastos" displayName="tblGastos" ref="A1:H107" totalsRowShown="0" headerRowDxfId="56">
  <autoFilter ref="A1:H107" xr:uid="{C9DDC5E1-283F-44BB-BABF-6A283E0FA9A0}"/>
  <sortState xmlns:xlrd2="http://schemas.microsoft.com/office/spreadsheetml/2017/richdata2" ref="A2:H58">
    <sortCondition ref="B2:B58"/>
  </sortState>
  <tableColumns count="8">
    <tableColumn id="1" xr3:uid="{64D8E2AC-302E-4F59-A658-0EEF7602E33D}" name="Campo" dataDxfId="55"/>
    <tableColumn id="2" xr3:uid="{DB488B4D-9BCB-4BBF-94D0-8967A0861F6B}" name="Fecha" dataDxfId="54"/>
    <tableColumn id="3" xr3:uid="{ADA24528-0AF2-477B-ABDD-435931290618}" name="Hora" dataDxfId="53"/>
    <tableColumn id="4" xr3:uid="{B35A7F18-01F1-47AD-9993-F1B0C41A65FE}" name="Tipo de gasto" dataDxfId="52"/>
    <tableColumn id="5" xr3:uid="{5DA5BC91-D80C-4CEA-BB89-7BEA1BF214C4}" name="Concepto" dataDxfId="51"/>
    <tableColumn id="6" xr3:uid="{8B5F042D-0BD5-46EE-9B54-69EE4378FC8E}" name="Forma de pago" dataDxfId="50"/>
    <tableColumn id="7" xr3:uid="{CD72FF44-5520-4463-8E64-06F875EC2B7A}" name="Valor" dataDxfId="49"/>
    <tableColumn id="8" xr3:uid="{CB069659-4B2A-457A-952A-6665580EAB74}" name="Observació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5FA809-2A2E-4570-B29F-A8AD4FD4311F}" name="tblOtrosMovimientos" displayName="tblOtrosMovimientos" ref="A1:I2" totalsRowShown="0" headerRowDxfId="48" dataDxfId="47">
  <autoFilter ref="A1:I2" xr:uid="{435FA809-2A2E-4570-B29F-A8AD4FD4311F}"/>
  <tableColumns count="9">
    <tableColumn id="1" xr3:uid="{ABA87A51-3411-4A0C-94F9-DF20A347876C}" name="Campo" dataDxfId="46"/>
    <tableColumn id="2" xr3:uid="{51A35531-A3D4-450D-9970-514F816753E2}" name="Fecha" dataDxfId="45"/>
    <tableColumn id="3" xr3:uid="{A779AB09-D9D3-4EAB-96EC-23D979340436}" name="Hora" dataDxfId="44"/>
    <tableColumn id="4" xr3:uid="{BBC2B000-05A8-4455-AEB9-F6590F9756C5}" name="Tipo" dataDxfId="43"/>
    <tableColumn id="5" xr3:uid="{E4475C0C-7CE3-4A1A-964A-8FFA84B97BE5}" name="Tipo de movimiento" dataDxfId="42"/>
    <tableColumn id="6" xr3:uid="{47645446-7EF9-4752-8408-ACBAAD90F215}" name="Concepto" dataDxfId="41"/>
    <tableColumn id="7" xr3:uid="{90611027-02EC-487B-BA73-C9BAA328F669}" name="Forma de pago" dataDxfId="40"/>
    <tableColumn id="8" xr3:uid="{C9ED99C2-E03A-4D3E-95A7-259709818B53}" name="Valor" dataDxfId="39"/>
    <tableColumn id="9" xr3:uid="{0E66941B-D619-4CD5-84AA-CEFA91CB56E4}" name="Observación" dataDxfId="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9305DB-B410-4D63-B563-8AB2ACF320B8}" name="tblPrestamos" displayName="tblPrestamos" ref="A1:L3" totalsRowShown="0" headerRowDxfId="37" dataDxfId="36">
  <autoFilter ref="A1:L3" xr:uid="{789305DB-B410-4D63-B563-8AB2ACF320B8}"/>
  <tableColumns count="12">
    <tableColumn id="1" xr3:uid="{347552CF-3D05-4F98-94BA-E90BBCF292BB}" name="IDPrestamo" dataDxfId="35"/>
    <tableColumn id="2" xr3:uid="{D084CDD3-3391-42E2-AC8F-8E4547A83845}" name="Fecha" dataDxfId="34"/>
    <tableColumn id="3" xr3:uid="{CE22FF0E-1365-4866-A4DF-8B99FB4C3611}" name="Hora" dataDxfId="33"/>
    <tableColumn id="4" xr3:uid="{2666CFC0-7EA7-4C94-AFDC-52BDA921B925}" name="Fecha de Vencimiento" dataDxfId="32"/>
    <tableColumn id="5" xr3:uid="{BB5CFED0-28F5-48E1-9B94-1905375F8E3E}" name="Persona" dataDxfId="31"/>
    <tableColumn id="6" xr3:uid="{F7B1DFDD-3BB3-46AB-81D7-7939B11E18EC}" name="Tipo" dataDxfId="30"/>
    <tableColumn id="7" xr3:uid="{5EBDED0C-7E04-4C47-BACB-BC5EF108EEA3}" name="Valor inicial" dataDxfId="29"/>
    <tableColumn id="8" xr3:uid="{03FBCB35-B2DA-49B6-98AB-4198A84F2A89}" name="Saldo" dataDxfId="28"/>
    <tableColumn id="9" xr3:uid="{277B6072-AB68-48FA-A6DF-99576AADFE4C}" name="Forma de pago" dataDxfId="27"/>
    <tableColumn id="10" xr3:uid="{C4D2EAF5-0A68-49AC-AFA1-CD41DCF39F7F}" name="Concepto" dataDxfId="26"/>
    <tableColumn id="11" xr3:uid="{6903F897-C92A-46EA-945B-297FF6B36D6C}" name="Estado" dataDxfId="25"/>
    <tableColumn id="12" xr3:uid="{FC2A414E-5A3B-4389-AF3F-312AB5C80BEC}" name="Observación" dataDxfId="2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C4BF9A-6937-4A26-B713-A4AF2C7FCFD1}" name="tblMovimientoPrestamos" displayName="tblMovimientoPrestamos" ref="A1:I3" totalsRowShown="0" headerRowDxfId="23" dataDxfId="22">
  <autoFilter ref="A1:I3" xr:uid="{5DC4BF9A-6937-4A26-B713-A4AF2C7FCFD1}"/>
  <tableColumns count="9">
    <tableColumn id="1" xr3:uid="{AB19CB02-D424-4427-8770-EAD617637415}" name="IDMovimiento" dataDxfId="21"/>
    <tableColumn id="2" xr3:uid="{AA470A14-8B87-4773-B094-C69EFC735E76}" name="Fecha" dataDxfId="20"/>
    <tableColumn id="3" xr3:uid="{5C54A31F-FA4A-46C0-93B2-F8CAA758635D}" name="Hora" dataDxfId="19"/>
    <tableColumn id="4" xr3:uid="{A764DFCC-E569-4D3E-8018-9B90D254ABE2}" name="IDPrestamo" dataDxfId="18"/>
    <tableColumn id="5" xr3:uid="{1E1B2F10-56B4-487F-A9B6-EB9888C1FF09}" name="Tipo de Movimiento" dataDxfId="17"/>
    <tableColumn id="6" xr3:uid="{827E0E2D-6AE0-4B97-BE43-CF37AE5F69F1}" name="Forma de pago" dataDxfId="16"/>
    <tableColumn id="7" xr3:uid="{1FA0CF96-393E-402A-A059-91CCA8CF570C}" name="Valor" dataDxfId="15"/>
    <tableColumn id="8" xr3:uid="{07983044-FBB8-43C7-8F01-DAC20B987608}" name="Saldo" dataDxfId="14"/>
    <tableColumn id="9" xr3:uid="{4BB69930-35D0-4EF6-B0B6-8A0133B0A054}" name="Observación" dataDxfId="1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EE018-4116-4CE7-8010-F6AF48D280EA}" name="tblMovimientosInventario" displayName="tblMovimientosInventario" ref="A1:K517" totalsRowShown="0" headerRowDxfId="12" dataDxfId="11">
  <autoFilter ref="A1:K517" xr:uid="{A6AEE018-4116-4CE7-8010-F6AF48D280EA}"/>
  <tableColumns count="11">
    <tableColumn id="1" xr3:uid="{A7393ADD-738F-467F-BCC6-6A25F888B140}" name="Fecha" dataDxfId="10"/>
    <tableColumn id="2" xr3:uid="{A40084EE-8FD5-4281-956D-C54FE742D1EB}" name="Hora" dataDxfId="9"/>
    <tableColumn id="3" xr3:uid="{6EC4B0DD-3010-40BB-9D45-908E5DEAE961}" name="Tipo/Motivo" dataDxfId="8"/>
    <tableColumn id="4" xr3:uid="{938EA7E3-347A-4A09-AB39-5EBEA02BC3DC}" name="Código" dataDxfId="7"/>
    <tableColumn id="5" xr3:uid="{3E2859CC-BCCC-4EE5-8249-845CB95B29A2}" name="Producto" dataDxfId="6"/>
    <tableColumn id="6" xr3:uid="{59B059AE-5915-4A33-970E-82DC4B1C9E89}" name="Cantidad" dataDxfId="5"/>
    <tableColumn id="7" xr3:uid="{33212F43-0875-448E-BA48-2DBD18374F46}" name="Existencia Anterior" dataDxfId="4"/>
    <tableColumn id="8" xr3:uid="{CA19A4A5-C724-41F7-9DF5-CC185A758E78}" name="Existencia Nueva" dataDxfId="3"/>
    <tableColumn id="11" xr3:uid="{3C730A2D-84B2-4787-B71A-872CB4B4D830}" name="Costo unitario" dataDxfId="2"/>
    <tableColumn id="10" xr3:uid="{2E2F3EA1-AF77-493D-818F-6C6742681904}" name="Costo total" dataDxfId="1"/>
    <tableColumn id="9" xr3:uid="{FF7789EB-3BE2-4880-831A-5C345453D461}" name="Observ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FB4FB4-FCD2-495F-866B-D91F562D9AE6}">
  <we:reference id="wa200005502" version="1.0.0.13" store="es-ES" storeType="OMEX"/>
  <we:alternateReferences>
    <we:reference id="wa200005502" version="1.0.0.13" store="wa200005502" storeType="OMEX"/>
  </we:alternateReferences>
  <we:properties>
    <we:property name="docId" value="&quot;KmTlO5iVH9vV_X-5VPSC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221F-CE77-4928-9FF6-7A33A8870E4B}">
  <sheetPr codeName="Hoja4">
    <tabColor theme="6" tint="0.39997558519241921"/>
  </sheetPr>
  <dimension ref="A1:H534"/>
  <sheetViews>
    <sheetView topLeftCell="A4" zoomScale="150" zoomScaleNormal="150" workbookViewId="0">
      <selection activeCell="B521" sqref="B521"/>
    </sheetView>
  </sheetViews>
  <sheetFormatPr baseColWidth="10" defaultRowHeight="15" x14ac:dyDescent="0.25"/>
  <cols>
    <col min="1" max="1" width="13.140625" customWidth="1"/>
    <col min="4" max="4" width="20.140625" customWidth="1"/>
    <col min="6" max="6" width="21" customWidth="1"/>
  </cols>
  <sheetData>
    <row r="1" spans="1:8" x14ac:dyDescent="0.25">
      <c r="A1" s="2" t="s">
        <v>50</v>
      </c>
      <c r="B1" s="2" t="s">
        <v>51</v>
      </c>
      <c r="C1" s="2" t="s">
        <v>52</v>
      </c>
      <c r="D1" s="2" t="s">
        <v>70</v>
      </c>
      <c r="E1" s="2" t="s">
        <v>54</v>
      </c>
      <c r="F1" s="2" t="s">
        <v>67</v>
      </c>
      <c r="G1" s="2" t="s">
        <v>53</v>
      </c>
      <c r="H1" s="48" t="s">
        <v>94</v>
      </c>
    </row>
    <row r="2" spans="1:8" x14ac:dyDescent="0.25">
      <c r="A2" s="1">
        <v>1</v>
      </c>
      <c r="B2" s="42">
        <v>46235</v>
      </c>
      <c r="C2" s="46">
        <v>0.83819444444444446</v>
      </c>
      <c r="D2" s="1" t="s">
        <v>148</v>
      </c>
      <c r="E2" s="47">
        <v>44000</v>
      </c>
      <c r="F2" s="1" t="s">
        <v>154</v>
      </c>
      <c r="G2" s="1" t="s">
        <v>155</v>
      </c>
      <c r="H2" s="48">
        <v>0</v>
      </c>
    </row>
    <row r="3" spans="1:8" x14ac:dyDescent="0.25">
      <c r="A3" s="1">
        <v>2</v>
      </c>
      <c r="B3" s="42">
        <v>46235</v>
      </c>
      <c r="C3" s="46">
        <v>0.83819444444444446</v>
      </c>
      <c r="D3" s="1" t="s">
        <v>149</v>
      </c>
      <c r="E3" s="47">
        <v>18000</v>
      </c>
      <c r="F3" s="1" t="s">
        <v>58</v>
      </c>
      <c r="G3" s="1" t="s">
        <v>155</v>
      </c>
      <c r="H3" s="48">
        <v>0</v>
      </c>
    </row>
    <row r="4" spans="1:8" x14ac:dyDescent="0.25">
      <c r="A4" s="1">
        <v>3</v>
      </c>
      <c r="B4" s="42">
        <v>46235</v>
      </c>
      <c r="C4" s="46">
        <v>0.83819444444444446</v>
      </c>
      <c r="D4" s="1" t="s">
        <v>150</v>
      </c>
      <c r="E4" s="47">
        <v>6000</v>
      </c>
      <c r="F4" s="1" t="s">
        <v>58</v>
      </c>
      <c r="G4" s="1" t="s">
        <v>155</v>
      </c>
      <c r="H4" s="48">
        <v>0</v>
      </c>
    </row>
    <row r="5" spans="1:8" x14ac:dyDescent="0.25">
      <c r="A5" s="1">
        <v>4</v>
      </c>
      <c r="B5" s="42">
        <v>46235</v>
      </c>
      <c r="C5" s="46">
        <v>0.83819444444444446</v>
      </c>
      <c r="D5" s="1" t="s">
        <v>201</v>
      </c>
      <c r="E5" s="47">
        <v>11400</v>
      </c>
      <c r="F5" s="1" t="s">
        <v>154</v>
      </c>
      <c r="G5" s="1" t="s">
        <v>155</v>
      </c>
      <c r="H5" s="48">
        <v>0</v>
      </c>
    </row>
    <row r="6" spans="1:8" x14ac:dyDescent="0.25">
      <c r="A6" s="1">
        <v>5</v>
      </c>
      <c r="B6" s="42">
        <v>46235</v>
      </c>
      <c r="C6" s="46">
        <v>0.83819444444444446</v>
      </c>
      <c r="D6" s="1" t="s">
        <v>429</v>
      </c>
      <c r="E6" s="47">
        <v>12000</v>
      </c>
      <c r="F6" s="1" t="s">
        <v>154</v>
      </c>
      <c r="G6" s="1" t="s">
        <v>155</v>
      </c>
      <c r="H6" s="48">
        <v>0</v>
      </c>
    </row>
    <row r="7" spans="1:8" x14ac:dyDescent="0.25">
      <c r="A7" s="1">
        <v>6</v>
      </c>
      <c r="B7" s="42">
        <v>46235</v>
      </c>
      <c r="C7" s="46">
        <v>0.83819444444444446</v>
      </c>
      <c r="D7" s="1" t="s">
        <v>153</v>
      </c>
      <c r="E7" s="47">
        <v>12000</v>
      </c>
      <c r="F7" s="1" t="s">
        <v>58</v>
      </c>
      <c r="G7" s="1" t="s">
        <v>155</v>
      </c>
      <c r="H7" s="48">
        <v>0</v>
      </c>
    </row>
    <row r="8" spans="1:8" x14ac:dyDescent="0.25">
      <c r="A8" s="1">
        <v>7</v>
      </c>
      <c r="B8" s="42">
        <v>46235</v>
      </c>
      <c r="C8" s="46">
        <v>0.83819444444444446</v>
      </c>
      <c r="D8" s="1" t="s">
        <v>166</v>
      </c>
      <c r="E8" s="47">
        <v>32000</v>
      </c>
      <c r="F8" s="1" t="s">
        <v>58</v>
      </c>
      <c r="G8" s="1" t="s">
        <v>155</v>
      </c>
      <c r="H8" s="48">
        <v>0</v>
      </c>
    </row>
    <row r="9" spans="1:8" x14ac:dyDescent="0.25">
      <c r="A9" s="1">
        <v>8</v>
      </c>
      <c r="B9" s="42">
        <v>46235</v>
      </c>
      <c r="C9" s="46">
        <v>0.83819444444444446</v>
      </c>
      <c r="D9" s="1" t="s">
        <v>43</v>
      </c>
      <c r="E9" s="47">
        <v>46000</v>
      </c>
      <c r="F9" s="1" t="s">
        <v>154</v>
      </c>
      <c r="G9" s="1" t="s">
        <v>155</v>
      </c>
      <c r="H9" s="48">
        <v>0</v>
      </c>
    </row>
    <row r="10" spans="1:8" x14ac:dyDescent="0.25">
      <c r="A10" s="1">
        <v>9</v>
      </c>
      <c r="B10" s="42">
        <v>46235</v>
      </c>
      <c r="C10" s="46">
        <v>0.83819444444444446</v>
      </c>
      <c r="D10" s="1" t="s">
        <v>42</v>
      </c>
      <c r="E10" s="47">
        <v>30000</v>
      </c>
      <c r="F10" s="1" t="s">
        <v>58</v>
      </c>
      <c r="G10" s="1" t="s">
        <v>155</v>
      </c>
      <c r="H10" s="48">
        <v>0</v>
      </c>
    </row>
    <row r="11" spans="1:8" x14ac:dyDescent="0.25">
      <c r="A11" s="1">
        <v>10</v>
      </c>
      <c r="B11" s="42">
        <v>46235</v>
      </c>
      <c r="C11" s="46">
        <v>0.83819444444444446</v>
      </c>
      <c r="D11" s="1" t="s">
        <v>167</v>
      </c>
      <c r="E11" s="47">
        <v>16000</v>
      </c>
      <c r="F11" s="1" t="s">
        <v>154</v>
      </c>
      <c r="G11" s="1" t="s">
        <v>155</v>
      </c>
      <c r="H11" s="48">
        <v>0</v>
      </c>
    </row>
    <row r="12" spans="1:8" x14ac:dyDescent="0.25">
      <c r="A12" s="1">
        <v>11</v>
      </c>
      <c r="B12" s="42">
        <v>46238</v>
      </c>
      <c r="C12" s="46">
        <v>0.83819444444444446</v>
      </c>
      <c r="D12" s="1" t="s">
        <v>168</v>
      </c>
      <c r="E12" s="47">
        <v>40000</v>
      </c>
      <c r="F12" s="1" t="s">
        <v>154</v>
      </c>
      <c r="G12" s="1" t="s">
        <v>155</v>
      </c>
      <c r="H12" s="48">
        <v>0</v>
      </c>
    </row>
    <row r="13" spans="1:8" x14ac:dyDescent="0.25">
      <c r="A13" s="1">
        <v>12</v>
      </c>
      <c r="B13" s="42">
        <v>46238</v>
      </c>
      <c r="C13" s="46">
        <v>0.83819444444444446</v>
      </c>
      <c r="D13" s="1" t="s">
        <v>169</v>
      </c>
      <c r="E13" s="47">
        <v>21000</v>
      </c>
      <c r="F13" s="1" t="s">
        <v>154</v>
      </c>
      <c r="G13" s="1" t="s">
        <v>155</v>
      </c>
      <c r="H13" s="48">
        <v>0</v>
      </c>
    </row>
    <row r="14" spans="1:8" x14ac:dyDescent="0.25">
      <c r="A14" s="1">
        <v>13</v>
      </c>
      <c r="B14" s="42">
        <v>46238</v>
      </c>
      <c r="C14" s="46">
        <v>0.83819444444444446</v>
      </c>
      <c r="D14" s="1" t="s">
        <v>170</v>
      </c>
      <c r="E14" s="47">
        <v>26000</v>
      </c>
      <c r="F14" s="1" t="s">
        <v>58</v>
      </c>
      <c r="G14" s="1" t="s">
        <v>155</v>
      </c>
      <c r="H14" s="48">
        <v>0</v>
      </c>
    </row>
    <row r="15" spans="1:8" x14ac:dyDescent="0.25">
      <c r="A15" s="1">
        <v>14</v>
      </c>
      <c r="B15" s="42">
        <v>46238</v>
      </c>
      <c r="C15" s="46">
        <v>0.83819444444444446</v>
      </c>
      <c r="D15" s="1" t="s">
        <v>172</v>
      </c>
      <c r="E15" s="47">
        <v>42000</v>
      </c>
      <c r="F15" s="1" t="s">
        <v>154</v>
      </c>
      <c r="G15" s="1" t="s">
        <v>155</v>
      </c>
      <c r="H15" s="48">
        <v>0</v>
      </c>
    </row>
    <row r="16" spans="1:8" x14ac:dyDescent="0.25">
      <c r="A16" s="1">
        <v>15</v>
      </c>
      <c r="B16" s="42">
        <v>46238</v>
      </c>
      <c r="C16" s="46">
        <v>0.83819444444444446</v>
      </c>
      <c r="D16" s="1" t="s">
        <v>173</v>
      </c>
      <c r="E16" s="47">
        <v>6000</v>
      </c>
      <c r="F16" s="1" t="s">
        <v>154</v>
      </c>
      <c r="G16" s="1" t="s">
        <v>155</v>
      </c>
      <c r="H16" s="48">
        <v>0</v>
      </c>
    </row>
    <row r="17" spans="1:8" x14ac:dyDescent="0.25">
      <c r="A17" s="1">
        <v>16</v>
      </c>
      <c r="B17" s="42">
        <v>46238</v>
      </c>
      <c r="C17" s="46">
        <v>0.83819444444444446</v>
      </c>
      <c r="D17" s="1" t="s">
        <v>174</v>
      </c>
      <c r="E17" s="47">
        <v>6000</v>
      </c>
      <c r="F17" s="1" t="s">
        <v>162</v>
      </c>
      <c r="G17" s="1" t="s">
        <v>163</v>
      </c>
      <c r="H17" s="48">
        <v>6000</v>
      </c>
    </row>
    <row r="18" spans="1:8" x14ac:dyDescent="0.25">
      <c r="A18" s="1">
        <v>17</v>
      </c>
      <c r="B18" s="42">
        <v>46238</v>
      </c>
      <c r="C18" s="46">
        <v>0.83819444444444446</v>
      </c>
      <c r="D18" s="1" t="s">
        <v>175</v>
      </c>
      <c r="E18" s="47">
        <v>20000</v>
      </c>
      <c r="F18" s="1" t="s">
        <v>58</v>
      </c>
      <c r="G18" s="1" t="s">
        <v>155</v>
      </c>
      <c r="H18" s="48">
        <v>0</v>
      </c>
    </row>
    <row r="19" spans="1:8" x14ac:dyDescent="0.25">
      <c r="A19" s="1">
        <v>18</v>
      </c>
      <c r="B19" s="42">
        <v>46239</v>
      </c>
      <c r="C19" s="46">
        <v>0.83819444444444446</v>
      </c>
      <c r="D19" s="1" t="s">
        <v>176</v>
      </c>
      <c r="E19" s="47">
        <v>32000</v>
      </c>
      <c r="F19" s="1" t="s">
        <v>154</v>
      </c>
      <c r="G19" s="1" t="s">
        <v>155</v>
      </c>
      <c r="H19" s="48">
        <v>0</v>
      </c>
    </row>
    <row r="20" spans="1:8" x14ac:dyDescent="0.25">
      <c r="A20" s="1">
        <v>19</v>
      </c>
      <c r="B20" s="42">
        <v>46240</v>
      </c>
      <c r="C20" s="46">
        <v>0.83819444444444446</v>
      </c>
      <c r="D20" s="1" t="s">
        <v>166</v>
      </c>
      <c r="E20" s="47">
        <v>16000</v>
      </c>
      <c r="F20" s="1" t="s">
        <v>58</v>
      </c>
      <c r="G20" s="1" t="s">
        <v>155</v>
      </c>
      <c r="H20" s="48">
        <v>0</v>
      </c>
    </row>
    <row r="21" spans="1:8" x14ac:dyDescent="0.25">
      <c r="A21" s="1">
        <v>20</v>
      </c>
      <c r="B21" s="42">
        <v>46240</v>
      </c>
      <c r="C21" s="46">
        <v>0.83819444444444446</v>
      </c>
      <c r="D21" s="1" t="s">
        <v>177</v>
      </c>
      <c r="E21" s="47">
        <v>6000</v>
      </c>
      <c r="F21" s="1" t="s">
        <v>154</v>
      </c>
      <c r="G21" s="1" t="s">
        <v>155</v>
      </c>
      <c r="H21" s="48">
        <v>0</v>
      </c>
    </row>
    <row r="22" spans="1:8" x14ac:dyDescent="0.25">
      <c r="A22" s="1">
        <v>21</v>
      </c>
      <c r="B22" s="42">
        <v>46240</v>
      </c>
      <c r="C22" s="46">
        <v>0.83819444444444446</v>
      </c>
      <c r="D22" s="1" t="s">
        <v>178</v>
      </c>
      <c r="E22" s="47">
        <v>14000</v>
      </c>
      <c r="F22" s="1" t="s">
        <v>154</v>
      </c>
      <c r="G22" s="1" t="s">
        <v>155</v>
      </c>
      <c r="H22" s="48">
        <v>0</v>
      </c>
    </row>
    <row r="23" spans="1:8" x14ac:dyDescent="0.25">
      <c r="A23" s="1">
        <v>22</v>
      </c>
      <c r="B23" s="42">
        <v>46240</v>
      </c>
      <c r="C23" s="46">
        <v>0.83819444444444446</v>
      </c>
      <c r="D23" s="1" t="s">
        <v>134</v>
      </c>
      <c r="E23" s="47">
        <v>42000</v>
      </c>
      <c r="F23" s="1" t="s">
        <v>154</v>
      </c>
      <c r="G23" s="1" t="s">
        <v>155</v>
      </c>
      <c r="H23" s="48">
        <v>0</v>
      </c>
    </row>
    <row r="24" spans="1:8" x14ac:dyDescent="0.25">
      <c r="A24" s="1">
        <v>23</v>
      </c>
      <c r="B24" s="42">
        <v>46240</v>
      </c>
      <c r="C24" s="46">
        <v>0.83819444444444446</v>
      </c>
      <c r="D24" s="1" t="s">
        <v>134</v>
      </c>
      <c r="E24" s="47">
        <v>10000</v>
      </c>
      <c r="F24" s="1" t="s">
        <v>58</v>
      </c>
      <c r="G24" s="1" t="s">
        <v>155</v>
      </c>
      <c r="H24" s="48">
        <v>0</v>
      </c>
    </row>
    <row r="25" spans="1:8" x14ac:dyDescent="0.25">
      <c r="A25" s="1">
        <v>24</v>
      </c>
      <c r="B25" s="42">
        <v>46241</v>
      </c>
      <c r="C25" s="46">
        <v>0.83819444444444446</v>
      </c>
      <c r="D25" s="1" t="s">
        <v>179</v>
      </c>
      <c r="E25" s="47">
        <v>51000</v>
      </c>
      <c r="F25" s="1" t="s">
        <v>154</v>
      </c>
      <c r="G25" s="1" t="s">
        <v>155</v>
      </c>
      <c r="H25" s="48">
        <v>0</v>
      </c>
    </row>
    <row r="26" spans="1:8" x14ac:dyDescent="0.25">
      <c r="A26" s="1">
        <v>25</v>
      </c>
      <c r="B26" s="42">
        <v>46241</v>
      </c>
      <c r="C26" s="46">
        <v>0.83819444444444446</v>
      </c>
      <c r="D26" s="1" t="s">
        <v>43</v>
      </c>
      <c r="E26" s="47">
        <v>33000</v>
      </c>
      <c r="F26" s="1" t="s">
        <v>154</v>
      </c>
      <c r="G26" s="1" t="s">
        <v>155</v>
      </c>
      <c r="H26" s="48">
        <v>0</v>
      </c>
    </row>
    <row r="27" spans="1:8" x14ac:dyDescent="0.25">
      <c r="A27" s="1">
        <v>26</v>
      </c>
      <c r="B27" s="42">
        <v>46241</v>
      </c>
      <c r="C27" s="46">
        <v>0.83819444444444446</v>
      </c>
      <c r="D27" s="1" t="s">
        <v>185</v>
      </c>
      <c r="E27" s="47">
        <v>59000</v>
      </c>
      <c r="F27" s="1" t="s">
        <v>58</v>
      </c>
      <c r="G27" s="1" t="s">
        <v>155</v>
      </c>
      <c r="H27" s="48">
        <v>0</v>
      </c>
    </row>
    <row r="28" spans="1:8" x14ac:dyDescent="0.25">
      <c r="A28" s="1">
        <v>27</v>
      </c>
      <c r="B28" s="42">
        <v>46241</v>
      </c>
      <c r="C28" s="46">
        <v>0.83819444444444446</v>
      </c>
      <c r="D28" s="1" t="s">
        <v>134</v>
      </c>
      <c r="E28" s="47">
        <v>43000</v>
      </c>
      <c r="F28" s="1" t="s">
        <v>58</v>
      </c>
      <c r="G28" s="1" t="s">
        <v>155</v>
      </c>
      <c r="H28" s="48">
        <v>0</v>
      </c>
    </row>
    <row r="29" spans="1:8" x14ac:dyDescent="0.25">
      <c r="A29" s="1">
        <v>28</v>
      </c>
      <c r="B29" s="42">
        <v>46241</v>
      </c>
      <c r="C29" s="46">
        <v>0.83819444444444446</v>
      </c>
      <c r="D29" s="1" t="s">
        <v>188</v>
      </c>
      <c r="E29" s="47">
        <v>12000</v>
      </c>
      <c r="F29" s="1" t="s">
        <v>154</v>
      </c>
      <c r="G29" s="1" t="s">
        <v>155</v>
      </c>
      <c r="H29" s="48">
        <v>0</v>
      </c>
    </row>
    <row r="30" spans="1:8" x14ac:dyDescent="0.25">
      <c r="A30" s="1">
        <v>29</v>
      </c>
      <c r="B30" s="42">
        <v>46241</v>
      </c>
      <c r="C30" s="46">
        <v>0.83819444444444446</v>
      </c>
      <c r="D30" s="1" t="s">
        <v>189</v>
      </c>
      <c r="E30" s="47">
        <v>18000</v>
      </c>
      <c r="F30" s="1" t="s">
        <v>154</v>
      </c>
      <c r="G30" s="1" t="s">
        <v>155</v>
      </c>
      <c r="H30" s="48">
        <v>0</v>
      </c>
    </row>
    <row r="31" spans="1:8" x14ac:dyDescent="0.25">
      <c r="A31" s="1">
        <v>30</v>
      </c>
      <c r="B31" s="42">
        <v>46241</v>
      </c>
      <c r="C31" s="46">
        <v>0.83819444444444446</v>
      </c>
      <c r="D31" s="1" t="s">
        <v>134</v>
      </c>
      <c r="E31" s="47">
        <v>20000</v>
      </c>
      <c r="F31" s="1" t="s">
        <v>58</v>
      </c>
      <c r="G31" s="1" t="s">
        <v>155</v>
      </c>
      <c r="H31" s="48">
        <v>0</v>
      </c>
    </row>
    <row r="32" spans="1:8" x14ac:dyDescent="0.25">
      <c r="A32" s="1">
        <v>31</v>
      </c>
      <c r="B32" s="42">
        <v>46241</v>
      </c>
      <c r="C32" s="46">
        <v>0.83819444444444446</v>
      </c>
      <c r="D32" s="1" t="s">
        <v>134</v>
      </c>
      <c r="E32" s="47">
        <v>26000</v>
      </c>
      <c r="F32" s="1" t="s">
        <v>154</v>
      </c>
      <c r="G32" s="1" t="s">
        <v>155</v>
      </c>
      <c r="H32" s="48">
        <v>0</v>
      </c>
    </row>
    <row r="33" spans="1:8" x14ac:dyDescent="0.25">
      <c r="A33" s="1">
        <v>32</v>
      </c>
      <c r="B33" s="42">
        <v>46241</v>
      </c>
      <c r="C33" s="46">
        <v>0.83819444444444446</v>
      </c>
      <c r="D33" s="1" t="s">
        <v>192</v>
      </c>
      <c r="E33" s="47">
        <v>24000</v>
      </c>
      <c r="F33" s="1" t="s">
        <v>154</v>
      </c>
      <c r="G33" s="1" t="s">
        <v>155</v>
      </c>
      <c r="H33" s="48">
        <v>0</v>
      </c>
    </row>
    <row r="34" spans="1:8" x14ac:dyDescent="0.25">
      <c r="A34" s="1">
        <v>33</v>
      </c>
      <c r="B34" s="42">
        <v>46241</v>
      </c>
      <c r="C34" s="46">
        <v>0.83819444444444446</v>
      </c>
      <c r="D34" s="1" t="s">
        <v>193</v>
      </c>
      <c r="E34" s="47">
        <v>39000</v>
      </c>
      <c r="F34" s="1" t="s">
        <v>58</v>
      </c>
      <c r="G34" s="1" t="s">
        <v>155</v>
      </c>
      <c r="H34" s="48">
        <v>0</v>
      </c>
    </row>
    <row r="35" spans="1:8" x14ac:dyDescent="0.25">
      <c r="A35" s="1">
        <v>34</v>
      </c>
      <c r="B35" s="42">
        <v>46241</v>
      </c>
      <c r="C35" s="46">
        <v>0.83819444444444446</v>
      </c>
      <c r="D35" s="1" t="s">
        <v>194</v>
      </c>
      <c r="E35" s="47">
        <v>21000</v>
      </c>
      <c r="F35" s="1" t="s">
        <v>154</v>
      </c>
      <c r="G35" s="1" t="s">
        <v>155</v>
      </c>
      <c r="H35" s="48">
        <v>0</v>
      </c>
    </row>
    <row r="36" spans="1:8" x14ac:dyDescent="0.25">
      <c r="A36" s="1">
        <v>35</v>
      </c>
      <c r="B36" s="42">
        <v>46241</v>
      </c>
      <c r="C36" s="46">
        <v>0.83819444444444446</v>
      </c>
      <c r="D36" s="1" t="s">
        <v>195</v>
      </c>
      <c r="E36" s="47">
        <v>32000</v>
      </c>
      <c r="F36" s="1" t="s">
        <v>154</v>
      </c>
      <c r="G36" s="1" t="s">
        <v>155</v>
      </c>
      <c r="H36" s="48">
        <v>0</v>
      </c>
    </row>
    <row r="37" spans="1:8" x14ac:dyDescent="0.25">
      <c r="A37" s="1">
        <v>36</v>
      </c>
      <c r="B37" s="42">
        <v>46241</v>
      </c>
      <c r="C37" s="46">
        <v>0.83819444444444446</v>
      </c>
      <c r="D37" s="1" t="s">
        <v>198</v>
      </c>
      <c r="E37" s="47">
        <v>16000</v>
      </c>
      <c r="F37" s="1" t="s">
        <v>58</v>
      </c>
      <c r="G37" s="1" t="s">
        <v>155</v>
      </c>
      <c r="H37" s="48">
        <v>0</v>
      </c>
    </row>
    <row r="38" spans="1:8" x14ac:dyDescent="0.25">
      <c r="A38" s="1">
        <v>37</v>
      </c>
      <c r="B38" s="42">
        <v>46241</v>
      </c>
      <c r="C38" s="46">
        <v>0.83819444444444446</v>
      </c>
      <c r="D38" s="1" t="s">
        <v>166</v>
      </c>
      <c r="E38" s="47">
        <v>34000</v>
      </c>
      <c r="F38" s="1" t="s">
        <v>154</v>
      </c>
      <c r="G38" s="1" t="s">
        <v>155</v>
      </c>
      <c r="H38" s="48">
        <v>0</v>
      </c>
    </row>
    <row r="39" spans="1:8" x14ac:dyDescent="0.25">
      <c r="A39" s="1">
        <v>38</v>
      </c>
      <c r="B39" s="42">
        <v>46241</v>
      </c>
      <c r="C39" s="46">
        <v>0.83819444444444446</v>
      </c>
      <c r="D39" s="1" t="s">
        <v>44</v>
      </c>
      <c r="E39" s="47">
        <v>20000</v>
      </c>
      <c r="F39" s="1" t="s">
        <v>154</v>
      </c>
      <c r="G39" s="1" t="s">
        <v>155</v>
      </c>
      <c r="H39" s="48">
        <v>0</v>
      </c>
    </row>
    <row r="40" spans="1:8" x14ac:dyDescent="0.25">
      <c r="A40" s="1">
        <v>39</v>
      </c>
      <c r="B40" s="42">
        <v>46242</v>
      </c>
      <c r="C40" s="46">
        <v>0.83819444444444446</v>
      </c>
      <c r="D40" s="1" t="s">
        <v>197</v>
      </c>
      <c r="E40" s="47">
        <v>6000</v>
      </c>
      <c r="F40" s="1" t="s">
        <v>58</v>
      </c>
      <c r="G40" s="1" t="s">
        <v>155</v>
      </c>
      <c r="H40" s="48">
        <v>0</v>
      </c>
    </row>
    <row r="41" spans="1:8" x14ac:dyDescent="0.25">
      <c r="A41" s="1">
        <v>40</v>
      </c>
      <c r="B41" s="42">
        <v>46242</v>
      </c>
      <c r="C41" s="46">
        <v>0.83819444444444446</v>
      </c>
      <c r="D41" s="1" t="s">
        <v>177</v>
      </c>
      <c r="E41" s="47">
        <v>17000</v>
      </c>
      <c r="F41" s="1" t="s">
        <v>154</v>
      </c>
      <c r="G41" s="1" t="s">
        <v>155</v>
      </c>
      <c r="H41" s="48">
        <v>0</v>
      </c>
    </row>
    <row r="42" spans="1:8" x14ac:dyDescent="0.25">
      <c r="A42" s="1">
        <v>41</v>
      </c>
      <c r="B42" s="42">
        <v>46242</v>
      </c>
      <c r="C42" s="46">
        <v>0.83819444444444446</v>
      </c>
      <c r="D42" s="1" t="s">
        <v>134</v>
      </c>
      <c r="E42" s="47">
        <v>24000</v>
      </c>
      <c r="F42" s="1" t="s">
        <v>58</v>
      </c>
      <c r="G42" s="1" t="s">
        <v>155</v>
      </c>
      <c r="H42" s="48">
        <v>0</v>
      </c>
    </row>
    <row r="43" spans="1:8" x14ac:dyDescent="0.25">
      <c r="A43" s="1">
        <v>42</v>
      </c>
      <c r="B43" s="42">
        <v>46242</v>
      </c>
      <c r="C43" s="46">
        <v>0.83819444444444446</v>
      </c>
      <c r="D43" s="1" t="s">
        <v>199</v>
      </c>
      <c r="E43" s="47">
        <v>20400</v>
      </c>
      <c r="F43" s="1" t="s">
        <v>154</v>
      </c>
      <c r="G43" s="1" t="s">
        <v>155</v>
      </c>
      <c r="H43" s="48">
        <v>0</v>
      </c>
    </row>
    <row r="44" spans="1:8" x14ac:dyDescent="0.25">
      <c r="A44" s="1">
        <v>43</v>
      </c>
      <c r="B44" s="42">
        <v>46242</v>
      </c>
      <c r="C44" s="46">
        <v>0.83819444444444446</v>
      </c>
      <c r="D44" s="1" t="s">
        <v>134</v>
      </c>
      <c r="E44" s="47">
        <v>13000</v>
      </c>
      <c r="F44" s="1" t="s">
        <v>58</v>
      </c>
      <c r="G44" s="1" t="s">
        <v>155</v>
      </c>
      <c r="H44" s="48">
        <v>0</v>
      </c>
    </row>
    <row r="45" spans="1:8" x14ac:dyDescent="0.25">
      <c r="A45" s="1">
        <v>44</v>
      </c>
      <c r="B45" s="42">
        <v>46242</v>
      </c>
      <c r="C45" s="46">
        <v>0.83819444444444446</v>
      </c>
      <c r="D45" s="1" t="s">
        <v>43</v>
      </c>
      <c r="E45" s="47">
        <v>42000</v>
      </c>
      <c r="F45" s="1" t="s">
        <v>58</v>
      </c>
      <c r="G45" s="1" t="s">
        <v>155</v>
      </c>
      <c r="H45" s="48">
        <v>0</v>
      </c>
    </row>
    <row r="46" spans="1:8" x14ac:dyDescent="0.25">
      <c r="A46" s="1">
        <v>45</v>
      </c>
      <c r="B46" s="42">
        <v>46242</v>
      </c>
      <c r="C46" s="46">
        <v>0.83819444444444446</v>
      </c>
      <c r="D46" s="1" t="s">
        <v>200</v>
      </c>
      <c r="E46" s="47">
        <v>21000</v>
      </c>
      <c r="F46" s="1" t="s">
        <v>162</v>
      </c>
      <c r="G46" s="1" t="s">
        <v>163</v>
      </c>
      <c r="H46" s="48">
        <v>21000</v>
      </c>
    </row>
    <row r="47" spans="1:8" x14ac:dyDescent="0.25">
      <c r="A47" s="1">
        <v>46</v>
      </c>
      <c r="B47" s="42">
        <v>46242</v>
      </c>
      <c r="C47" s="46">
        <v>0.83819444444444446</v>
      </c>
      <c r="D47" s="50" t="s">
        <v>103</v>
      </c>
      <c r="E47" s="47">
        <v>13000</v>
      </c>
      <c r="F47" s="1" t="s">
        <v>154</v>
      </c>
      <c r="G47" s="1" t="s">
        <v>155</v>
      </c>
      <c r="H47" s="48">
        <v>0</v>
      </c>
    </row>
    <row r="48" spans="1:8" x14ac:dyDescent="0.25">
      <c r="A48" s="1">
        <v>47</v>
      </c>
      <c r="B48" s="42">
        <v>46242</v>
      </c>
      <c r="C48" s="46">
        <v>0.83819444444444446</v>
      </c>
      <c r="D48" s="50" t="s">
        <v>134</v>
      </c>
      <c r="E48" s="47">
        <v>6000</v>
      </c>
      <c r="F48" s="1" t="s">
        <v>154</v>
      </c>
      <c r="G48" s="1" t="s">
        <v>155</v>
      </c>
      <c r="H48" s="48">
        <v>0</v>
      </c>
    </row>
    <row r="49" spans="1:8" x14ac:dyDescent="0.25">
      <c r="A49" s="1">
        <v>48</v>
      </c>
      <c r="B49" s="42">
        <v>46242</v>
      </c>
      <c r="C49" s="46">
        <v>0.83819444444444446</v>
      </c>
      <c r="D49" s="50" t="s">
        <v>134</v>
      </c>
      <c r="E49" s="47">
        <v>36000</v>
      </c>
      <c r="F49" s="1" t="s">
        <v>154</v>
      </c>
      <c r="G49" s="1" t="s">
        <v>155</v>
      </c>
      <c r="H49" s="48">
        <v>0</v>
      </c>
    </row>
    <row r="50" spans="1:8" x14ac:dyDescent="0.25">
      <c r="A50" s="1">
        <v>49</v>
      </c>
      <c r="B50" s="42">
        <v>46242</v>
      </c>
      <c r="C50" s="46">
        <v>0.83819444444444446</v>
      </c>
      <c r="D50" s="50" t="s">
        <v>134</v>
      </c>
      <c r="E50" s="47">
        <v>6000</v>
      </c>
      <c r="F50" s="1" t="s">
        <v>154</v>
      </c>
      <c r="G50" s="1" t="s">
        <v>155</v>
      </c>
      <c r="H50" s="48">
        <v>0</v>
      </c>
    </row>
    <row r="51" spans="1:8" x14ac:dyDescent="0.25">
      <c r="A51" s="1">
        <v>50</v>
      </c>
      <c r="B51" s="42">
        <v>46242</v>
      </c>
      <c r="C51" s="46">
        <v>0.83819444444444446</v>
      </c>
      <c r="D51" s="50" t="s">
        <v>134</v>
      </c>
      <c r="E51" s="47">
        <v>15000</v>
      </c>
      <c r="F51" s="1" t="s">
        <v>154</v>
      </c>
      <c r="G51" s="1" t="s">
        <v>155</v>
      </c>
      <c r="H51" s="48">
        <v>0</v>
      </c>
    </row>
    <row r="52" spans="1:8" x14ac:dyDescent="0.25">
      <c r="A52" s="1">
        <v>51</v>
      </c>
      <c r="B52" s="42">
        <v>46242</v>
      </c>
      <c r="C52" s="46">
        <v>0.83819444444444446</v>
      </c>
      <c r="D52" s="1" t="s">
        <v>42</v>
      </c>
      <c r="E52" s="47">
        <v>60000</v>
      </c>
      <c r="F52" s="1" t="s">
        <v>154</v>
      </c>
      <c r="G52" s="1" t="s">
        <v>155</v>
      </c>
      <c r="H52" s="48">
        <v>0</v>
      </c>
    </row>
    <row r="53" spans="1:8" x14ac:dyDescent="0.25">
      <c r="A53" s="1">
        <v>52</v>
      </c>
      <c r="B53" s="42">
        <v>46242</v>
      </c>
      <c r="C53" s="46">
        <v>0.83819444444444446</v>
      </c>
      <c r="D53" s="1" t="s">
        <v>134</v>
      </c>
      <c r="E53" s="47">
        <v>32000</v>
      </c>
      <c r="F53" s="1" t="s">
        <v>58</v>
      </c>
      <c r="G53" s="1" t="s">
        <v>155</v>
      </c>
      <c r="H53" s="48">
        <v>0</v>
      </c>
    </row>
    <row r="54" spans="1:8" x14ac:dyDescent="0.25">
      <c r="A54" s="1">
        <v>53</v>
      </c>
      <c r="B54" s="42">
        <v>46242</v>
      </c>
      <c r="C54" s="46">
        <v>0.83819444444444446</v>
      </c>
      <c r="D54" s="1" t="s">
        <v>178</v>
      </c>
      <c r="E54" s="47">
        <v>25000</v>
      </c>
      <c r="F54" s="1" t="s">
        <v>154</v>
      </c>
      <c r="G54" s="1" t="s">
        <v>155</v>
      </c>
      <c r="H54" s="48">
        <v>0</v>
      </c>
    </row>
    <row r="55" spans="1:8" x14ac:dyDescent="0.25">
      <c r="A55" s="1">
        <v>54</v>
      </c>
      <c r="B55" s="42">
        <v>46242</v>
      </c>
      <c r="C55" s="46">
        <v>0.83819444444444446</v>
      </c>
      <c r="D55" s="1" t="s">
        <v>46</v>
      </c>
      <c r="E55" s="47">
        <v>38000</v>
      </c>
      <c r="F55" s="1" t="s">
        <v>154</v>
      </c>
      <c r="G55" s="1" t="s">
        <v>155</v>
      </c>
      <c r="H55" s="48">
        <v>0</v>
      </c>
    </row>
    <row r="56" spans="1:8" x14ac:dyDescent="0.25">
      <c r="A56" s="1">
        <v>55</v>
      </c>
      <c r="B56" s="42">
        <v>46242</v>
      </c>
      <c r="C56" s="46">
        <v>0.83819444444444446</v>
      </c>
      <c r="D56" s="1" t="s">
        <v>45</v>
      </c>
      <c r="E56" s="47">
        <v>9000</v>
      </c>
      <c r="F56" s="1" t="s">
        <v>162</v>
      </c>
      <c r="G56" s="1" t="s">
        <v>163</v>
      </c>
      <c r="H56" s="48">
        <v>9000</v>
      </c>
    </row>
    <row r="57" spans="1:8" x14ac:dyDescent="0.25">
      <c r="A57" s="1">
        <v>56</v>
      </c>
      <c r="B57" s="42">
        <v>46242</v>
      </c>
      <c r="C57" s="46">
        <v>0.83819444444444446</v>
      </c>
      <c r="D57" s="1" t="s">
        <v>43</v>
      </c>
      <c r="E57" s="47">
        <v>34000</v>
      </c>
      <c r="F57" s="1" t="s">
        <v>154</v>
      </c>
      <c r="G57" s="1" t="s">
        <v>155</v>
      </c>
      <c r="H57" s="48">
        <v>0</v>
      </c>
    </row>
    <row r="58" spans="1:8" x14ac:dyDescent="0.25">
      <c r="A58" s="1">
        <v>57</v>
      </c>
      <c r="B58" s="42">
        <v>46247</v>
      </c>
      <c r="C58" s="46">
        <v>0.83819444444444446</v>
      </c>
      <c r="D58" s="1" t="s">
        <v>43</v>
      </c>
      <c r="E58" s="47">
        <v>18000</v>
      </c>
      <c r="F58" s="1" t="s">
        <v>154</v>
      </c>
      <c r="G58" s="1" t="s">
        <v>155</v>
      </c>
      <c r="H58" s="48">
        <v>0</v>
      </c>
    </row>
    <row r="59" spans="1:8" x14ac:dyDescent="0.25">
      <c r="A59" s="1">
        <v>58</v>
      </c>
      <c r="B59" s="42">
        <v>46247</v>
      </c>
      <c r="C59" s="46">
        <v>0.83819444444444446</v>
      </c>
      <c r="D59" s="1" t="s">
        <v>178</v>
      </c>
      <c r="E59" s="47">
        <v>16000</v>
      </c>
      <c r="F59" s="1" t="s">
        <v>58</v>
      </c>
      <c r="G59" s="1" t="s">
        <v>155</v>
      </c>
      <c r="H59" s="48">
        <v>0</v>
      </c>
    </row>
    <row r="60" spans="1:8" x14ac:dyDescent="0.25">
      <c r="A60" s="1">
        <v>59</v>
      </c>
      <c r="B60" s="42">
        <v>46247</v>
      </c>
      <c r="C60" s="46">
        <v>0.83819444444444446</v>
      </c>
      <c r="D60" s="1" t="s">
        <v>202</v>
      </c>
      <c r="E60" s="47">
        <v>60000</v>
      </c>
      <c r="F60" s="1" t="s">
        <v>154</v>
      </c>
      <c r="G60" s="1" t="s">
        <v>155</v>
      </c>
      <c r="H60" s="48">
        <v>0</v>
      </c>
    </row>
    <row r="61" spans="1:8" x14ac:dyDescent="0.25">
      <c r="A61" s="1">
        <v>60</v>
      </c>
      <c r="B61" s="42">
        <v>46248</v>
      </c>
      <c r="C61" s="46">
        <v>0.83819444444444446</v>
      </c>
      <c r="D61" s="1" t="s">
        <v>134</v>
      </c>
      <c r="E61" s="47">
        <v>24000</v>
      </c>
      <c r="F61" s="1" t="s">
        <v>58</v>
      </c>
      <c r="G61" s="1" t="s">
        <v>155</v>
      </c>
      <c r="H61" s="48">
        <v>0</v>
      </c>
    </row>
    <row r="62" spans="1:8" x14ac:dyDescent="0.25">
      <c r="A62" s="1">
        <v>61</v>
      </c>
      <c r="B62" s="42">
        <v>46248</v>
      </c>
      <c r="C62" s="46">
        <v>0.83819444444444446</v>
      </c>
      <c r="D62" s="1" t="s">
        <v>201</v>
      </c>
      <c r="E62" s="47">
        <v>24000</v>
      </c>
      <c r="F62" s="1" t="s">
        <v>58</v>
      </c>
      <c r="G62" s="1" t="s">
        <v>155</v>
      </c>
      <c r="H62" s="48">
        <v>0</v>
      </c>
    </row>
    <row r="63" spans="1:8" ht="30" x14ac:dyDescent="0.25">
      <c r="A63" s="1">
        <v>62</v>
      </c>
      <c r="B63" s="42">
        <v>46248</v>
      </c>
      <c r="C63" s="46">
        <v>0.83819444444444446</v>
      </c>
      <c r="D63" s="1" t="s">
        <v>203</v>
      </c>
      <c r="E63" s="47">
        <v>14400</v>
      </c>
      <c r="F63" s="1" t="s">
        <v>58</v>
      </c>
      <c r="G63" s="1" t="s">
        <v>155</v>
      </c>
      <c r="H63" s="48">
        <v>0</v>
      </c>
    </row>
    <row r="64" spans="1:8" x14ac:dyDescent="0.25">
      <c r="A64" s="1">
        <v>63</v>
      </c>
      <c r="B64" s="42">
        <v>46248</v>
      </c>
      <c r="C64" s="46">
        <v>0.83819444444444446</v>
      </c>
      <c r="D64" s="1" t="s">
        <v>204</v>
      </c>
      <c r="E64" s="47">
        <v>6000</v>
      </c>
      <c r="F64" s="1" t="s">
        <v>162</v>
      </c>
      <c r="G64" s="1" t="s">
        <v>163</v>
      </c>
      <c r="H64" s="48">
        <v>6000</v>
      </c>
    </row>
    <row r="65" spans="1:8" x14ac:dyDescent="0.25">
      <c r="A65" s="1">
        <v>64</v>
      </c>
      <c r="B65" s="42">
        <v>46248</v>
      </c>
      <c r="C65" s="46">
        <v>0.83819444444444446</v>
      </c>
      <c r="D65" s="1" t="s">
        <v>46</v>
      </c>
      <c r="E65" s="47">
        <v>6000</v>
      </c>
      <c r="F65" s="1" t="s">
        <v>58</v>
      </c>
      <c r="G65" s="1" t="s">
        <v>155</v>
      </c>
      <c r="H65" s="48">
        <v>0</v>
      </c>
    </row>
    <row r="66" spans="1:8" x14ac:dyDescent="0.25">
      <c r="A66" s="1">
        <v>65</v>
      </c>
      <c r="B66" s="42">
        <v>46248</v>
      </c>
      <c r="C66" s="46">
        <v>0.83819444444444446</v>
      </c>
      <c r="D66" s="1" t="s">
        <v>166</v>
      </c>
      <c r="E66" s="47">
        <v>6000</v>
      </c>
      <c r="F66" s="1" t="s">
        <v>162</v>
      </c>
      <c r="G66" s="1" t="s">
        <v>163</v>
      </c>
      <c r="H66" s="48">
        <v>6000</v>
      </c>
    </row>
    <row r="67" spans="1:8" x14ac:dyDescent="0.25">
      <c r="A67" s="1">
        <v>66</v>
      </c>
      <c r="B67" s="42">
        <v>46248</v>
      </c>
      <c r="C67" s="46">
        <v>0.83819444444444446</v>
      </c>
      <c r="D67" s="1" t="s">
        <v>43</v>
      </c>
      <c r="E67" s="47">
        <v>22000</v>
      </c>
      <c r="F67" s="1" t="s">
        <v>154</v>
      </c>
      <c r="G67" s="1" t="s">
        <v>155</v>
      </c>
      <c r="H67" s="48">
        <v>0</v>
      </c>
    </row>
    <row r="68" spans="1:8" x14ac:dyDescent="0.25">
      <c r="A68" s="1">
        <v>67</v>
      </c>
      <c r="B68" s="42">
        <v>46248</v>
      </c>
      <c r="C68" s="46">
        <v>0.83819444444444446</v>
      </c>
      <c r="D68" s="1" t="s">
        <v>205</v>
      </c>
      <c r="E68" s="47">
        <v>60000</v>
      </c>
      <c r="F68" s="1" t="s">
        <v>154</v>
      </c>
      <c r="G68" s="1" t="s">
        <v>155</v>
      </c>
      <c r="H68" s="48">
        <v>0</v>
      </c>
    </row>
    <row r="69" spans="1:8" x14ac:dyDescent="0.25">
      <c r="A69" s="1">
        <v>68</v>
      </c>
      <c r="B69" s="42">
        <v>46249</v>
      </c>
      <c r="C69" s="46">
        <v>0.83819444444444446</v>
      </c>
      <c r="D69" s="1" t="s">
        <v>206</v>
      </c>
      <c r="E69" s="47">
        <v>24000</v>
      </c>
      <c r="F69" s="1" t="s">
        <v>58</v>
      </c>
      <c r="G69" s="1" t="s">
        <v>155</v>
      </c>
      <c r="H69" s="48">
        <v>0</v>
      </c>
    </row>
    <row r="70" spans="1:8" x14ac:dyDescent="0.25">
      <c r="A70" s="1">
        <v>69</v>
      </c>
      <c r="B70" s="42">
        <v>46249</v>
      </c>
      <c r="C70" s="46">
        <v>0.83819444444444446</v>
      </c>
      <c r="D70" s="1" t="s">
        <v>207</v>
      </c>
      <c r="E70" s="47">
        <v>24000</v>
      </c>
      <c r="F70" s="1" t="s">
        <v>154</v>
      </c>
      <c r="G70" s="1" t="s">
        <v>155</v>
      </c>
      <c r="H70" s="48">
        <v>0</v>
      </c>
    </row>
    <row r="71" spans="1:8" x14ac:dyDescent="0.25">
      <c r="A71" s="1">
        <v>70</v>
      </c>
      <c r="B71" s="42">
        <v>46249</v>
      </c>
      <c r="C71" s="46">
        <v>0.83819444444444446</v>
      </c>
      <c r="D71" s="1" t="s">
        <v>208</v>
      </c>
      <c r="E71" s="47">
        <v>14000</v>
      </c>
      <c r="F71" s="1" t="s">
        <v>154</v>
      </c>
      <c r="G71" s="1" t="s">
        <v>155</v>
      </c>
      <c r="H71" s="48">
        <v>0</v>
      </c>
    </row>
    <row r="72" spans="1:8" x14ac:dyDescent="0.25">
      <c r="A72" s="1">
        <v>71</v>
      </c>
      <c r="B72" s="42">
        <v>46249</v>
      </c>
      <c r="C72" s="46">
        <v>0.83819444444444446</v>
      </c>
      <c r="D72" s="1" t="s">
        <v>194</v>
      </c>
      <c r="E72" s="47">
        <v>12000</v>
      </c>
      <c r="F72" s="1" t="s">
        <v>58</v>
      </c>
      <c r="G72" s="1" t="s">
        <v>155</v>
      </c>
      <c r="H72" s="48">
        <v>0</v>
      </c>
    </row>
    <row r="73" spans="1:8" x14ac:dyDescent="0.25">
      <c r="A73" s="1">
        <v>72</v>
      </c>
      <c r="B73" s="42">
        <v>46249</v>
      </c>
      <c r="C73" s="46">
        <v>0.83819444444444446</v>
      </c>
      <c r="D73" s="1" t="s">
        <v>42</v>
      </c>
      <c r="E73" s="47">
        <v>22000</v>
      </c>
      <c r="F73" s="1" t="s">
        <v>58</v>
      </c>
      <c r="G73" s="1" t="s">
        <v>155</v>
      </c>
      <c r="H73" s="48">
        <v>0</v>
      </c>
    </row>
    <row r="74" spans="1:8" x14ac:dyDescent="0.25">
      <c r="A74" s="1">
        <v>73</v>
      </c>
      <c r="B74" s="42">
        <v>46249</v>
      </c>
      <c r="C74" s="46">
        <v>0.83819444444444446</v>
      </c>
      <c r="D74" s="1" t="s">
        <v>166</v>
      </c>
      <c r="E74" s="47">
        <v>62000</v>
      </c>
      <c r="F74" s="1" t="s">
        <v>58</v>
      </c>
      <c r="G74" s="1" t="s">
        <v>155</v>
      </c>
      <c r="H74" s="48">
        <v>0</v>
      </c>
    </row>
    <row r="75" spans="1:8" x14ac:dyDescent="0.25">
      <c r="A75" s="1">
        <v>74</v>
      </c>
      <c r="B75" s="42">
        <v>46249</v>
      </c>
      <c r="C75" s="46">
        <v>0.83819444444444446</v>
      </c>
      <c r="D75" s="1" t="s">
        <v>43</v>
      </c>
      <c r="E75" s="47">
        <v>12000</v>
      </c>
      <c r="F75" s="1" t="s">
        <v>58</v>
      </c>
      <c r="G75" s="1" t="s">
        <v>155</v>
      </c>
      <c r="H75" s="48">
        <v>0</v>
      </c>
    </row>
    <row r="76" spans="1:8" x14ac:dyDescent="0.25">
      <c r="A76" s="1">
        <v>75</v>
      </c>
      <c r="B76" s="42">
        <v>46249</v>
      </c>
      <c r="C76" s="46">
        <v>0.83819444444444446</v>
      </c>
      <c r="D76" s="1" t="s">
        <v>43</v>
      </c>
      <c r="E76" s="47">
        <v>38000</v>
      </c>
      <c r="F76" s="1" t="s">
        <v>154</v>
      </c>
      <c r="G76" s="1" t="s">
        <v>155</v>
      </c>
      <c r="H76" s="48">
        <v>0</v>
      </c>
    </row>
    <row r="77" spans="1:8" x14ac:dyDescent="0.25">
      <c r="A77" s="1">
        <v>76</v>
      </c>
      <c r="B77" s="42">
        <v>46249</v>
      </c>
      <c r="C77" s="46">
        <v>0.83819444444444446</v>
      </c>
      <c r="D77" s="1" t="s">
        <v>134</v>
      </c>
      <c r="E77" s="47">
        <v>33000</v>
      </c>
      <c r="F77" s="1" t="s">
        <v>58</v>
      </c>
      <c r="G77" s="1" t="s">
        <v>155</v>
      </c>
      <c r="H77" s="48">
        <v>33000</v>
      </c>
    </row>
    <row r="78" spans="1:8" x14ac:dyDescent="0.25">
      <c r="A78" s="1">
        <v>77</v>
      </c>
      <c r="B78" s="42">
        <v>46254</v>
      </c>
      <c r="C78" s="46">
        <v>0.83819444444444446</v>
      </c>
      <c r="D78" s="1" t="s">
        <v>200</v>
      </c>
      <c r="E78" s="47">
        <v>29000</v>
      </c>
      <c r="F78" s="1" t="s">
        <v>162</v>
      </c>
      <c r="G78" s="1" t="s">
        <v>163</v>
      </c>
      <c r="H78" s="48">
        <v>29000</v>
      </c>
    </row>
    <row r="79" spans="1:8" x14ac:dyDescent="0.25">
      <c r="A79" s="1">
        <v>78</v>
      </c>
      <c r="B79" s="42">
        <v>46254</v>
      </c>
      <c r="C79" s="46">
        <v>0.83819444444444446</v>
      </c>
      <c r="D79" s="1" t="s">
        <v>206</v>
      </c>
      <c r="E79" s="47">
        <v>14800</v>
      </c>
      <c r="F79" s="1" t="s">
        <v>58</v>
      </c>
      <c r="G79" s="1" t="s">
        <v>155</v>
      </c>
      <c r="H79" s="48">
        <v>0</v>
      </c>
    </row>
    <row r="80" spans="1:8" x14ac:dyDescent="0.25">
      <c r="A80" s="1">
        <v>79</v>
      </c>
      <c r="B80" s="42">
        <v>46254</v>
      </c>
      <c r="C80" s="46">
        <v>0.83819444444444446</v>
      </c>
      <c r="D80" s="1" t="s">
        <v>208</v>
      </c>
      <c r="E80" s="47">
        <v>39000</v>
      </c>
      <c r="F80" s="1" t="s">
        <v>58</v>
      </c>
      <c r="G80" s="1" t="s">
        <v>155</v>
      </c>
      <c r="H80" s="48">
        <v>0</v>
      </c>
    </row>
    <row r="81" spans="1:8" x14ac:dyDescent="0.25">
      <c r="A81" s="1">
        <v>80</v>
      </c>
      <c r="B81" s="42">
        <v>46254</v>
      </c>
      <c r="C81" s="46">
        <v>0.83819444444444446</v>
      </c>
      <c r="D81" s="1" t="s">
        <v>207</v>
      </c>
      <c r="E81" s="47">
        <v>12000</v>
      </c>
      <c r="F81" s="1" t="s">
        <v>162</v>
      </c>
      <c r="G81" s="1" t="s">
        <v>163</v>
      </c>
      <c r="H81" s="48">
        <v>12000</v>
      </c>
    </row>
    <row r="82" spans="1:8" x14ac:dyDescent="0.25">
      <c r="A82" s="1">
        <v>81</v>
      </c>
      <c r="B82" s="42">
        <v>46254</v>
      </c>
      <c r="C82" s="46">
        <v>0.83819444444444446</v>
      </c>
      <c r="D82" s="1" t="s">
        <v>209</v>
      </c>
      <c r="E82" s="47">
        <v>6000</v>
      </c>
      <c r="F82" s="1" t="s">
        <v>162</v>
      </c>
      <c r="G82" s="1" t="s">
        <v>163</v>
      </c>
      <c r="H82" s="48">
        <v>6000</v>
      </c>
    </row>
    <row r="83" spans="1:8" x14ac:dyDescent="0.25">
      <c r="A83" s="1">
        <v>82</v>
      </c>
      <c r="B83" s="42">
        <v>46254</v>
      </c>
      <c r="C83" s="46">
        <v>0.83819444444444446</v>
      </c>
      <c r="D83" s="1" t="s">
        <v>43</v>
      </c>
      <c r="E83" s="47">
        <v>28000</v>
      </c>
      <c r="F83" s="1" t="s">
        <v>154</v>
      </c>
      <c r="G83" s="1" t="s">
        <v>155</v>
      </c>
      <c r="H83" s="48">
        <v>0</v>
      </c>
    </row>
    <row r="84" spans="1:8" x14ac:dyDescent="0.25">
      <c r="A84" s="1">
        <v>83</v>
      </c>
      <c r="B84" s="42">
        <v>46254</v>
      </c>
      <c r="C84" s="46">
        <v>0.83819444444444446</v>
      </c>
      <c r="D84" s="1" t="s">
        <v>210</v>
      </c>
      <c r="E84" s="47">
        <v>27000</v>
      </c>
      <c r="F84" s="1" t="s">
        <v>162</v>
      </c>
      <c r="G84" s="1" t="s">
        <v>163</v>
      </c>
      <c r="H84" s="48">
        <v>27000</v>
      </c>
    </row>
    <row r="85" spans="1:8" x14ac:dyDescent="0.25">
      <c r="A85" s="1">
        <v>84</v>
      </c>
      <c r="B85" s="42">
        <v>46254</v>
      </c>
      <c r="C85" s="46">
        <v>0.83819444444444446</v>
      </c>
      <c r="D85" s="1" t="s">
        <v>166</v>
      </c>
      <c r="E85" s="47">
        <v>10000</v>
      </c>
      <c r="F85" s="1" t="s">
        <v>162</v>
      </c>
      <c r="G85" s="1" t="s">
        <v>163</v>
      </c>
      <c r="H85" s="48">
        <v>10000</v>
      </c>
    </row>
    <row r="86" spans="1:8" x14ac:dyDescent="0.25">
      <c r="A86" s="1">
        <v>85</v>
      </c>
      <c r="B86" s="42">
        <v>46254</v>
      </c>
      <c r="C86" s="46">
        <v>0.83819444444444446</v>
      </c>
      <c r="D86" s="1" t="s">
        <v>211</v>
      </c>
      <c r="E86" s="47">
        <v>4000</v>
      </c>
      <c r="F86" s="1" t="s">
        <v>162</v>
      </c>
      <c r="G86" s="1" t="s">
        <v>163</v>
      </c>
      <c r="H86" s="48">
        <v>4000</v>
      </c>
    </row>
    <row r="87" spans="1:8" x14ac:dyDescent="0.25">
      <c r="A87" s="1">
        <v>86</v>
      </c>
      <c r="B87" s="42">
        <v>46254</v>
      </c>
      <c r="C87" s="46">
        <v>0.83819444444444446</v>
      </c>
      <c r="D87" s="1" t="s">
        <v>212</v>
      </c>
      <c r="E87" s="47">
        <v>10000</v>
      </c>
      <c r="F87" s="1" t="s">
        <v>154</v>
      </c>
      <c r="G87" s="1" t="s">
        <v>155</v>
      </c>
      <c r="H87" s="48">
        <v>0</v>
      </c>
    </row>
    <row r="88" spans="1:8" x14ac:dyDescent="0.25">
      <c r="A88" s="1">
        <v>87</v>
      </c>
      <c r="B88" s="42">
        <v>46254</v>
      </c>
      <c r="C88" s="46">
        <v>0.83819444444444446</v>
      </c>
      <c r="D88" s="1" t="s">
        <v>213</v>
      </c>
      <c r="E88" s="47">
        <v>10000</v>
      </c>
      <c r="F88" s="1" t="s">
        <v>154</v>
      </c>
      <c r="G88" s="1" t="s">
        <v>155</v>
      </c>
      <c r="H88" s="48">
        <v>0</v>
      </c>
    </row>
    <row r="89" spans="1:8" x14ac:dyDescent="0.25">
      <c r="A89" s="1">
        <v>88</v>
      </c>
      <c r="B89" s="42">
        <v>46254</v>
      </c>
      <c r="C89" s="46">
        <v>0.83819444444444446</v>
      </c>
      <c r="D89" s="1" t="s">
        <v>103</v>
      </c>
      <c r="E89" s="47">
        <v>24000</v>
      </c>
      <c r="F89" s="1" t="s">
        <v>162</v>
      </c>
      <c r="G89" s="1" t="s">
        <v>163</v>
      </c>
      <c r="H89" s="48">
        <v>24000</v>
      </c>
    </row>
    <row r="90" spans="1:8" x14ac:dyDescent="0.25">
      <c r="A90" s="1">
        <v>89</v>
      </c>
      <c r="B90" s="42">
        <v>46254</v>
      </c>
      <c r="C90" s="46">
        <v>0.83819444444444446</v>
      </c>
      <c r="D90" s="1" t="s">
        <v>134</v>
      </c>
      <c r="E90" s="47">
        <v>24000</v>
      </c>
      <c r="F90" s="1" t="s">
        <v>162</v>
      </c>
      <c r="G90" s="1" t="s">
        <v>163</v>
      </c>
      <c r="H90" s="48">
        <v>24000</v>
      </c>
    </row>
    <row r="91" spans="1:8" x14ac:dyDescent="0.25">
      <c r="A91" s="1">
        <v>90</v>
      </c>
      <c r="B91" s="42">
        <v>46254</v>
      </c>
      <c r="C91" s="46">
        <v>0.83819444444444446</v>
      </c>
      <c r="D91" s="1" t="s">
        <v>166</v>
      </c>
      <c r="E91" s="47">
        <v>6000</v>
      </c>
      <c r="F91" s="1" t="s">
        <v>58</v>
      </c>
      <c r="G91" s="1" t="s">
        <v>155</v>
      </c>
      <c r="H91" s="48">
        <v>0</v>
      </c>
    </row>
    <row r="92" spans="1:8" x14ac:dyDescent="0.25">
      <c r="A92" s="1">
        <v>91</v>
      </c>
      <c r="B92" s="42">
        <v>46254</v>
      </c>
      <c r="C92" s="46">
        <v>0.83819444444444446</v>
      </c>
      <c r="D92" s="1" t="s">
        <v>214</v>
      </c>
      <c r="E92" s="47">
        <v>6000</v>
      </c>
      <c r="F92" s="1" t="s">
        <v>58</v>
      </c>
      <c r="G92" s="1" t="s">
        <v>155</v>
      </c>
      <c r="H92" s="48">
        <v>0</v>
      </c>
    </row>
    <row r="93" spans="1:8" x14ac:dyDescent="0.25">
      <c r="A93" s="1">
        <v>92</v>
      </c>
      <c r="B93" s="42">
        <v>46254</v>
      </c>
      <c r="C93" s="46">
        <v>0.83819444444444446</v>
      </c>
      <c r="D93" s="1" t="s">
        <v>166</v>
      </c>
      <c r="E93" s="47">
        <v>25000</v>
      </c>
      <c r="F93" s="1" t="s">
        <v>58</v>
      </c>
      <c r="G93" s="1" t="s">
        <v>155</v>
      </c>
      <c r="H93" s="48">
        <v>0</v>
      </c>
    </row>
    <row r="94" spans="1:8" x14ac:dyDescent="0.25">
      <c r="A94" s="1">
        <v>93</v>
      </c>
      <c r="B94" s="42">
        <v>46255</v>
      </c>
      <c r="C94" s="46">
        <v>0.83819444444444446</v>
      </c>
      <c r="D94" s="1" t="s">
        <v>43</v>
      </c>
      <c r="E94" s="47">
        <v>12000</v>
      </c>
      <c r="F94" s="1" t="s">
        <v>154</v>
      </c>
      <c r="G94" s="1" t="s">
        <v>155</v>
      </c>
      <c r="H94" s="48">
        <v>0</v>
      </c>
    </row>
    <row r="95" spans="1:8" x14ac:dyDescent="0.25">
      <c r="A95" s="1">
        <v>94</v>
      </c>
      <c r="B95" s="42">
        <v>46255</v>
      </c>
      <c r="C95" s="46">
        <v>0.83819444444444446</v>
      </c>
      <c r="D95" s="1" t="s">
        <v>42</v>
      </c>
      <c r="E95" s="47">
        <v>38000</v>
      </c>
      <c r="F95" s="1" t="s">
        <v>154</v>
      </c>
      <c r="G95" s="1" t="s">
        <v>155</v>
      </c>
      <c r="H95" s="48">
        <v>0</v>
      </c>
    </row>
    <row r="96" spans="1:8" x14ac:dyDescent="0.25">
      <c r="A96" s="1">
        <v>95</v>
      </c>
      <c r="B96" s="42">
        <v>46255</v>
      </c>
      <c r="C96" s="46">
        <v>0.83819444444444446</v>
      </c>
      <c r="D96" s="1" t="s">
        <v>44</v>
      </c>
      <c r="E96" s="47">
        <v>27000</v>
      </c>
      <c r="F96" s="1" t="s">
        <v>154</v>
      </c>
      <c r="G96" s="1" t="s">
        <v>155</v>
      </c>
      <c r="H96" s="48">
        <v>0</v>
      </c>
    </row>
    <row r="97" spans="1:8" x14ac:dyDescent="0.25">
      <c r="A97" s="1">
        <v>96</v>
      </c>
      <c r="B97" s="42">
        <v>46255</v>
      </c>
      <c r="C97" s="46">
        <v>0.83819444444444446</v>
      </c>
      <c r="D97" s="1" t="s">
        <v>198</v>
      </c>
      <c r="E97" s="47">
        <v>36000</v>
      </c>
      <c r="F97" s="1" t="s">
        <v>154</v>
      </c>
      <c r="G97" s="1" t="s">
        <v>155</v>
      </c>
      <c r="H97" s="48">
        <v>0</v>
      </c>
    </row>
    <row r="98" spans="1:8" x14ac:dyDescent="0.25">
      <c r="A98" s="1">
        <v>97</v>
      </c>
      <c r="B98" s="42">
        <v>46255</v>
      </c>
      <c r="C98" s="46">
        <v>0.83819444444444446</v>
      </c>
      <c r="D98" s="1" t="s">
        <v>126</v>
      </c>
      <c r="E98" s="47">
        <v>4000</v>
      </c>
      <c r="F98" s="1" t="s">
        <v>154</v>
      </c>
      <c r="G98" s="1" t="s">
        <v>155</v>
      </c>
      <c r="H98" s="48">
        <v>0</v>
      </c>
    </row>
    <row r="99" spans="1:8" x14ac:dyDescent="0.25">
      <c r="A99" s="1">
        <v>98</v>
      </c>
      <c r="B99" s="42">
        <v>46255</v>
      </c>
      <c r="C99" s="46">
        <v>0.83819444444444446</v>
      </c>
      <c r="D99" s="1" t="s">
        <v>198</v>
      </c>
      <c r="E99" s="47">
        <v>188000</v>
      </c>
      <c r="F99" s="1" t="s">
        <v>154</v>
      </c>
      <c r="G99" s="1" t="s">
        <v>155</v>
      </c>
      <c r="H99" s="48">
        <v>0</v>
      </c>
    </row>
    <row r="100" spans="1:8" x14ac:dyDescent="0.25">
      <c r="A100" s="1">
        <v>99</v>
      </c>
      <c r="B100" s="42">
        <v>46255</v>
      </c>
      <c r="C100" s="46">
        <v>0.83819444444444446</v>
      </c>
      <c r="D100" s="1" t="s">
        <v>215</v>
      </c>
      <c r="E100" s="47">
        <v>16000</v>
      </c>
      <c r="F100" s="1" t="s">
        <v>154</v>
      </c>
      <c r="G100" s="1" t="s">
        <v>155</v>
      </c>
      <c r="H100" s="48">
        <v>0</v>
      </c>
    </row>
    <row r="101" spans="1:8" x14ac:dyDescent="0.25">
      <c r="A101" s="1">
        <v>100</v>
      </c>
      <c r="B101" s="42">
        <v>46255</v>
      </c>
      <c r="C101" s="46">
        <v>0.83819444444444446</v>
      </c>
      <c r="D101" s="1" t="s">
        <v>216</v>
      </c>
      <c r="E101" s="47">
        <v>6000</v>
      </c>
      <c r="F101" s="1" t="s">
        <v>58</v>
      </c>
      <c r="G101" s="1" t="s">
        <v>155</v>
      </c>
      <c r="H101" s="48">
        <v>0</v>
      </c>
    </row>
    <row r="102" spans="1:8" x14ac:dyDescent="0.25">
      <c r="A102" s="1">
        <v>101</v>
      </c>
      <c r="B102" s="42">
        <v>46255</v>
      </c>
      <c r="C102" s="46">
        <v>0.83819444444444446</v>
      </c>
      <c r="D102" s="1" t="s">
        <v>217</v>
      </c>
      <c r="E102" s="47">
        <v>18000</v>
      </c>
      <c r="F102" s="1" t="s">
        <v>58</v>
      </c>
      <c r="G102" s="1" t="s">
        <v>155</v>
      </c>
      <c r="H102" s="48">
        <v>0</v>
      </c>
    </row>
    <row r="103" spans="1:8" x14ac:dyDescent="0.25">
      <c r="A103" s="1">
        <v>102</v>
      </c>
      <c r="B103" s="42">
        <v>46255</v>
      </c>
      <c r="C103" s="46">
        <v>0.83819444444444446</v>
      </c>
      <c r="D103" s="1" t="s">
        <v>218</v>
      </c>
      <c r="E103" s="47">
        <v>23000</v>
      </c>
      <c r="F103" s="1" t="s">
        <v>162</v>
      </c>
      <c r="G103" s="1" t="s">
        <v>163</v>
      </c>
      <c r="H103" s="48">
        <v>23000</v>
      </c>
    </row>
    <row r="104" spans="1:8" x14ac:dyDescent="0.25">
      <c r="A104" s="1">
        <v>103</v>
      </c>
      <c r="B104" s="42">
        <v>46255</v>
      </c>
      <c r="C104" s="46">
        <v>0.83819444444444446</v>
      </c>
      <c r="D104" s="1" t="s">
        <v>168</v>
      </c>
      <c r="E104" s="47">
        <v>22000</v>
      </c>
      <c r="F104" s="1" t="s">
        <v>154</v>
      </c>
      <c r="G104" s="1" t="s">
        <v>155</v>
      </c>
      <c r="H104" s="48">
        <v>0</v>
      </c>
    </row>
    <row r="105" spans="1:8" x14ac:dyDescent="0.25">
      <c r="A105" s="1">
        <v>104</v>
      </c>
      <c r="B105" s="42">
        <v>46255</v>
      </c>
      <c r="C105" s="46">
        <v>0.83819444444444446</v>
      </c>
      <c r="D105" s="1" t="s">
        <v>134</v>
      </c>
      <c r="E105" s="47">
        <v>90000</v>
      </c>
      <c r="F105" s="1" t="s">
        <v>154</v>
      </c>
      <c r="G105" s="1" t="s">
        <v>155</v>
      </c>
      <c r="H105" s="48">
        <v>0</v>
      </c>
    </row>
    <row r="106" spans="1:8" x14ac:dyDescent="0.25">
      <c r="A106" s="1">
        <v>105</v>
      </c>
      <c r="B106" s="42">
        <v>46255</v>
      </c>
      <c r="C106" s="46">
        <v>0.83819444444444446</v>
      </c>
      <c r="D106" s="1" t="s">
        <v>134</v>
      </c>
      <c r="E106" s="47">
        <v>22000</v>
      </c>
      <c r="F106" s="1" t="s">
        <v>154</v>
      </c>
      <c r="G106" s="1" t="s">
        <v>155</v>
      </c>
      <c r="H106" s="48">
        <v>0</v>
      </c>
    </row>
    <row r="107" spans="1:8" x14ac:dyDescent="0.25">
      <c r="A107" s="1">
        <v>106</v>
      </c>
      <c r="B107" s="42">
        <v>46256</v>
      </c>
      <c r="C107" s="46">
        <v>0.83819444444444446</v>
      </c>
      <c r="D107" s="1" t="s">
        <v>126</v>
      </c>
      <c r="E107" s="47">
        <v>93000</v>
      </c>
      <c r="F107" s="1" t="s">
        <v>154</v>
      </c>
      <c r="G107" s="1" t="s">
        <v>155</v>
      </c>
      <c r="H107" s="48">
        <v>0</v>
      </c>
    </row>
    <row r="108" spans="1:8" x14ac:dyDescent="0.25">
      <c r="A108" s="1">
        <v>107</v>
      </c>
      <c r="B108" s="42">
        <v>46256</v>
      </c>
      <c r="C108" s="46">
        <v>0.83819444444444446</v>
      </c>
      <c r="D108" s="1" t="s">
        <v>220</v>
      </c>
      <c r="E108" s="47">
        <v>33000</v>
      </c>
      <c r="F108" s="1" t="s">
        <v>162</v>
      </c>
      <c r="G108" s="1" t="s">
        <v>163</v>
      </c>
      <c r="H108" s="48">
        <v>33000</v>
      </c>
    </row>
    <row r="109" spans="1:8" x14ac:dyDescent="0.25">
      <c r="A109" s="1">
        <v>108</v>
      </c>
      <c r="B109" s="42">
        <v>46256</v>
      </c>
      <c r="C109" s="46">
        <v>0.83819444444444446</v>
      </c>
      <c r="D109" s="1" t="s">
        <v>42</v>
      </c>
      <c r="E109" s="47">
        <v>36000</v>
      </c>
      <c r="F109" s="1" t="s">
        <v>154</v>
      </c>
      <c r="G109" s="1" t="s">
        <v>155</v>
      </c>
      <c r="H109" s="48">
        <v>0</v>
      </c>
    </row>
    <row r="110" spans="1:8" x14ac:dyDescent="0.25">
      <c r="A110" s="1">
        <v>109</v>
      </c>
      <c r="B110" s="42">
        <v>46256</v>
      </c>
      <c r="C110" s="46">
        <v>0.83819444444444446</v>
      </c>
      <c r="D110" s="1" t="s">
        <v>221</v>
      </c>
      <c r="E110" s="47">
        <v>31000</v>
      </c>
      <c r="F110" s="1" t="s">
        <v>154</v>
      </c>
      <c r="G110" s="1" t="s">
        <v>155</v>
      </c>
      <c r="H110" s="48">
        <v>0</v>
      </c>
    </row>
    <row r="111" spans="1:8" x14ac:dyDescent="0.25">
      <c r="A111" s="1">
        <v>110</v>
      </c>
      <c r="B111" s="42">
        <v>46256</v>
      </c>
      <c r="C111" s="46">
        <v>0.83819444444444446</v>
      </c>
      <c r="D111" s="1" t="s">
        <v>222</v>
      </c>
      <c r="E111" s="47">
        <v>24000</v>
      </c>
      <c r="F111" s="1" t="s">
        <v>58</v>
      </c>
      <c r="G111" s="1" t="s">
        <v>155</v>
      </c>
      <c r="H111" s="48">
        <v>0</v>
      </c>
    </row>
    <row r="112" spans="1:8" x14ac:dyDescent="0.25">
      <c r="A112" s="1">
        <v>111</v>
      </c>
      <c r="B112" s="42">
        <v>46256</v>
      </c>
      <c r="C112" s="46">
        <v>0.83819444444444446</v>
      </c>
      <c r="D112" s="1" t="s">
        <v>223</v>
      </c>
      <c r="E112" s="47">
        <v>10000</v>
      </c>
      <c r="F112" s="1" t="s">
        <v>154</v>
      </c>
      <c r="G112" s="1" t="s">
        <v>155</v>
      </c>
      <c r="H112" s="48">
        <v>0</v>
      </c>
    </row>
    <row r="113" spans="1:8" x14ac:dyDescent="0.25">
      <c r="A113" s="1">
        <v>112</v>
      </c>
      <c r="B113" s="42">
        <v>46256</v>
      </c>
      <c r="C113" s="46">
        <v>0.83819444444444446</v>
      </c>
      <c r="D113" s="1" t="s">
        <v>178</v>
      </c>
      <c r="E113" s="47">
        <v>33000</v>
      </c>
      <c r="F113" s="1" t="s">
        <v>154</v>
      </c>
      <c r="G113" s="1" t="s">
        <v>155</v>
      </c>
      <c r="H113" s="48">
        <v>0</v>
      </c>
    </row>
    <row r="114" spans="1:8" x14ac:dyDescent="0.25">
      <c r="A114" s="1">
        <v>113</v>
      </c>
      <c r="B114" s="42">
        <v>46256</v>
      </c>
      <c r="C114" s="46">
        <v>0.83819444444444446</v>
      </c>
      <c r="D114" s="1" t="s">
        <v>224</v>
      </c>
      <c r="E114" s="47">
        <v>29000</v>
      </c>
      <c r="F114" s="1" t="s">
        <v>58</v>
      </c>
      <c r="G114" s="1" t="s">
        <v>155</v>
      </c>
      <c r="H114" s="48">
        <v>0</v>
      </c>
    </row>
    <row r="115" spans="1:8" x14ac:dyDescent="0.25">
      <c r="A115" s="1">
        <v>114</v>
      </c>
      <c r="B115" s="42">
        <v>46256</v>
      </c>
      <c r="C115" s="46">
        <v>0.83819444444444446</v>
      </c>
      <c r="D115" s="1" t="s">
        <v>192</v>
      </c>
      <c r="E115" s="47">
        <v>32000</v>
      </c>
      <c r="F115" s="1" t="s">
        <v>154</v>
      </c>
      <c r="G115" s="1" t="s">
        <v>155</v>
      </c>
      <c r="H115" s="48">
        <v>0</v>
      </c>
    </row>
    <row r="116" spans="1:8" x14ac:dyDescent="0.25">
      <c r="A116" s="1">
        <v>115</v>
      </c>
      <c r="B116" s="42">
        <v>46256</v>
      </c>
      <c r="C116" s="46">
        <v>0.83819444444444446</v>
      </c>
      <c r="D116" s="1" t="s">
        <v>134</v>
      </c>
      <c r="E116" s="47">
        <v>12000</v>
      </c>
      <c r="F116" s="1" t="s">
        <v>58</v>
      </c>
      <c r="G116" s="1" t="s">
        <v>155</v>
      </c>
      <c r="H116" s="48">
        <v>0</v>
      </c>
    </row>
    <row r="117" spans="1:8" x14ac:dyDescent="0.25">
      <c r="A117" s="1">
        <v>116</v>
      </c>
      <c r="B117" s="42">
        <v>46256</v>
      </c>
      <c r="C117" s="46">
        <v>0.83819444444444446</v>
      </c>
      <c r="D117" s="1" t="s">
        <v>134</v>
      </c>
      <c r="E117" s="47">
        <v>32000</v>
      </c>
      <c r="F117" s="1" t="s">
        <v>58</v>
      </c>
      <c r="G117" s="1" t="s">
        <v>155</v>
      </c>
      <c r="H117" s="48">
        <v>0</v>
      </c>
    </row>
    <row r="118" spans="1:8" x14ac:dyDescent="0.25">
      <c r="A118" s="1">
        <v>117</v>
      </c>
      <c r="B118" s="42">
        <v>46256</v>
      </c>
      <c r="C118" s="46">
        <v>0.83819444444444446</v>
      </c>
      <c r="D118" s="1" t="s">
        <v>225</v>
      </c>
      <c r="E118" s="47">
        <v>16000</v>
      </c>
      <c r="F118" s="1" t="s">
        <v>58</v>
      </c>
      <c r="G118" s="1" t="s">
        <v>155</v>
      </c>
      <c r="H118" s="48">
        <v>0</v>
      </c>
    </row>
    <row r="119" spans="1:8" x14ac:dyDescent="0.25">
      <c r="A119" s="1">
        <v>118</v>
      </c>
      <c r="B119" s="42">
        <v>46256</v>
      </c>
      <c r="C119" s="46">
        <v>0.83819444444444446</v>
      </c>
      <c r="D119" s="1" t="s">
        <v>226</v>
      </c>
      <c r="E119" s="47">
        <v>14000</v>
      </c>
      <c r="F119" s="1" t="s">
        <v>58</v>
      </c>
      <c r="G119" s="1" t="s">
        <v>155</v>
      </c>
      <c r="H119" s="48">
        <v>0</v>
      </c>
    </row>
    <row r="120" spans="1:8" x14ac:dyDescent="0.25">
      <c r="A120" s="1">
        <v>119</v>
      </c>
      <c r="B120" s="42">
        <v>46256</v>
      </c>
      <c r="C120" s="46">
        <v>0.83819444444444446</v>
      </c>
      <c r="D120" s="1" t="s">
        <v>227</v>
      </c>
      <c r="E120" s="47">
        <v>28000</v>
      </c>
      <c r="F120" s="1" t="s">
        <v>154</v>
      </c>
      <c r="G120" s="1" t="s">
        <v>155</v>
      </c>
      <c r="H120" s="48">
        <v>0</v>
      </c>
    </row>
    <row r="121" spans="1:8" x14ac:dyDescent="0.25">
      <c r="A121" s="1">
        <v>120</v>
      </c>
      <c r="B121" s="42">
        <v>46256</v>
      </c>
      <c r="C121" s="46">
        <v>0.83819444444444446</v>
      </c>
      <c r="D121" s="1" t="s">
        <v>43</v>
      </c>
      <c r="E121" s="47">
        <v>32000</v>
      </c>
      <c r="F121" s="1" t="s">
        <v>154</v>
      </c>
      <c r="G121" s="1" t="s">
        <v>155</v>
      </c>
      <c r="H121" s="48">
        <v>0</v>
      </c>
    </row>
    <row r="122" spans="1:8" x14ac:dyDescent="0.25">
      <c r="A122" s="1">
        <v>121</v>
      </c>
      <c r="B122" s="42">
        <v>46256</v>
      </c>
      <c r="C122" s="46">
        <v>0.83819444444444446</v>
      </c>
      <c r="D122" s="1" t="s">
        <v>134</v>
      </c>
      <c r="E122" s="47">
        <v>22000</v>
      </c>
      <c r="F122" s="1" t="s">
        <v>154</v>
      </c>
      <c r="G122" s="1" t="s">
        <v>155</v>
      </c>
      <c r="H122" s="48">
        <v>0</v>
      </c>
    </row>
    <row r="123" spans="1:8" x14ac:dyDescent="0.25">
      <c r="A123" s="1">
        <v>122</v>
      </c>
      <c r="B123" s="42">
        <v>46260</v>
      </c>
      <c r="C123" s="46">
        <v>0.83819444444444446</v>
      </c>
      <c r="D123" s="1" t="s">
        <v>178</v>
      </c>
      <c r="E123" s="47">
        <v>13000</v>
      </c>
      <c r="F123" s="1" t="s">
        <v>58</v>
      </c>
      <c r="G123" s="1" t="s">
        <v>155</v>
      </c>
      <c r="H123" s="48">
        <v>0</v>
      </c>
    </row>
    <row r="124" spans="1:8" x14ac:dyDescent="0.25">
      <c r="A124" s="1">
        <v>123</v>
      </c>
      <c r="B124" s="42">
        <v>46260</v>
      </c>
      <c r="C124" s="46">
        <v>0.83819444444444446</v>
      </c>
      <c r="D124" s="1" t="s">
        <v>228</v>
      </c>
      <c r="E124" s="47">
        <v>30000</v>
      </c>
      <c r="F124" s="1" t="s">
        <v>58</v>
      </c>
      <c r="G124" s="1" t="s">
        <v>155</v>
      </c>
      <c r="H124" s="48">
        <v>0</v>
      </c>
    </row>
    <row r="125" spans="1:8" x14ac:dyDescent="0.25">
      <c r="A125" s="1">
        <v>124</v>
      </c>
      <c r="B125" s="42">
        <v>46260</v>
      </c>
      <c r="C125" s="46">
        <v>0.83819444444444446</v>
      </c>
      <c r="D125" s="1" t="s">
        <v>42</v>
      </c>
      <c r="E125" s="47">
        <v>28000</v>
      </c>
      <c r="F125" s="1" t="s">
        <v>58</v>
      </c>
      <c r="G125" s="1" t="s">
        <v>155</v>
      </c>
      <c r="H125" s="48">
        <v>0</v>
      </c>
    </row>
    <row r="126" spans="1:8" x14ac:dyDescent="0.25">
      <c r="A126" s="1">
        <v>125</v>
      </c>
      <c r="B126" s="42">
        <v>46260</v>
      </c>
      <c r="C126" s="46">
        <v>0.83819444444444446</v>
      </c>
      <c r="D126" s="1" t="s">
        <v>134</v>
      </c>
      <c r="E126" s="47">
        <v>12000</v>
      </c>
      <c r="F126" s="1" t="s">
        <v>58</v>
      </c>
      <c r="G126" s="1" t="s">
        <v>155</v>
      </c>
      <c r="H126" s="48">
        <v>0</v>
      </c>
    </row>
    <row r="127" spans="1:8" x14ac:dyDescent="0.25">
      <c r="A127" s="1">
        <v>126</v>
      </c>
      <c r="B127" s="42">
        <v>46260</v>
      </c>
      <c r="C127" s="46">
        <v>0.83819444444444446</v>
      </c>
      <c r="D127" s="1" t="s">
        <v>229</v>
      </c>
      <c r="E127" s="47">
        <v>40000</v>
      </c>
      <c r="F127" s="1" t="s">
        <v>154</v>
      </c>
      <c r="G127" s="1" t="s">
        <v>155</v>
      </c>
      <c r="H127" s="48">
        <v>0</v>
      </c>
    </row>
    <row r="128" spans="1:8" x14ac:dyDescent="0.25">
      <c r="A128" s="1">
        <v>127</v>
      </c>
      <c r="B128" s="42">
        <v>46260</v>
      </c>
      <c r="C128" s="46">
        <v>0.83819444444444446</v>
      </c>
      <c r="D128" s="1" t="s">
        <v>43</v>
      </c>
      <c r="E128" s="47">
        <v>23000</v>
      </c>
      <c r="F128" s="1" t="s">
        <v>58</v>
      </c>
      <c r="G128" s="1" t="s">
        <v>155</v>
      </c>
      <c r="H128" s="48">
        <v>0</v>
      </c>
    </row>
    <row r="129" spans="1:8" x14ac:dyDescent="0.25">
      <c r="A129" s="1">
        <v>128</v>
      </c>
      <c r="B129" s="42">
        <v>46260</v>
      </c>
      <c r="C129" s="46">
        <v>0.83819444444444446</v>
      </c>
      <c r="D129" s="1" t="s">
        <v>199</v>
      </c>
      <c r="E129" s="47">
        <v>16800</v>
      </c>
      <c r="F129" s="1" t="s">
        <v>58</v>
      </c>
      <c r="G129" s="1" t="s">
        <v>155</v>
      </c>
      <c r="H129" s="48">
        <v>0</v>
      </c>
    </row>
    <row r="130" spans="1:8" x14ac:dyDescent="0.25">
      <c r="A130" s="1">
        <v>129</v>
      </c>
      <c r="B130" s="42">
        <v>46261</v>
      </c>
      <c r="C130" s="46">
        <v>0.83819444444444446</v>
      </c>
      <c r="D130" s="1" t="s">
        <v>134</v>
      </c>
      <c r="E130" s="47">
        <v>18000</v>
      </c>
      <c r="F130" s="1" t="s">
        <v>154</v>
      </c>
      <c r="G130" s="1" t="s">
        <v>155</v>
      </c>
      <c r="H130" s="48">
        <v>0</v>
      </c>
    </row>
    <row r="131" spans="1:8" x14ac:dyDescent="0.25">
      <c r="A131" s="1">
        <v>130</v>
      </c>
      <c r="B131" s="42">
        <v>46261</v>
      </c>
      <c r="C131" s="46">
        <v>0.83819444444444446</v>
      </c>
      <c r="D131" s="1" t="s">
        <v>230</v>
      </c>
      <c r="E131" s="47">
        <v>12000</v>
      </c>
      <c r="F131" s="1" t="s">
        <v>58</v>
      </c>
      <c r="G131" s="1" t="s">
        <v>155</v>
      </c>
      <c r="H131" s="48">
        <v>0</v>
      </c>
    </row>
    <row r="132" spans="1:8" x14ac:dyDescent="0.25">
      <c r="A132" s="1">
        <v>131</v>
      </c>
      <c r="B132" s="42">
        <v>46261</v>
      </c>
      <c r="C132" s="46">
        <v>0.83819444444444446</v>
      </c>
      <c r="D132" s="1" t="s">
        <v>231</v>
      </c>
      <c r="E132" s="47">
        <v>20000</v>
      </c>
      <c r="F132" s="1" t="s">
        <v>58</v>
      </c>
      <c r="G132" s="1" t="s">
        <v>155</v>
      </c>
      <c r="H132" s="48">
        <v>0</v>
      </c>
    </row>
    <row r="133" spans="1:8" x14ac:dyDescent="0.25">
      <c r="A133" s="1">
        <v>132</v>
      </c>
      <c r="B133" s="42">
        <v>46261</v>
      </c>
      <c r="C133" s="46">
        <v>0.83819444444444446</v>
      </c>
      <c r="D133" s="1" t="s">
        <v>134</v>
      </c>
      <c r="E133" s="47">
        <v>6000</v>
      </c>
      <c r="F133" s="1" t="s">
        <v>58</v>
      </c>
      <c r="G133" s="1" t="s">
        <v>155</v>
      </c>
      <c r="H133" s="48">
        <v>0</v>
      </c>
    </row>
    <row r="134" spans="1:8" x14ac:dyDescent="0.25">
      <c r="A134" s="1">
        <v>133</v>
      </c>
      <c r="B134" s="42">
        <v>46261</v>
      </c>
      <c r="C134" s="46">
        <v>0.83819444444444446</v>
      </c>
      <c r="D134" s="1" t="s">
        <v>134</v>
      </c>
      <c r="E134" s="47">
        <v>6000</v>
      </c>
      <c r="F134" s="1" t="s">
        <v>58</v>
      </c>
      <c r="G134" s="1" t="s">
        <v>155</v>
      </c>
      <c r="H134" s="48">
        <v>0</v>
      </c>
    </row>
    <row r="135" spans="1:8" x14ac:dyDescent="0.25">
      <c r="A135" s="1">
        <v>134</v>
      </c>
      <c r="B135" s="42">
        <v>46261</v>
      </c>
      <c r="C135" s="46">
        <v>0.83819444444444446</v>
      </c>
      <c r="D135" s="1" t="s">
        <v>201</v>
      </c>
      <c r="E135" s="47">
        <v>25600</v>
      </c>
      <c r="F135" s="1" t="s">
        <v>154</v>
      </c>
      <c r="G135" s="1" t="s">
        <v>155</v>
      </c>
      <c r="H135" s="48">
        <v>0</v>
      </c>
    </row>
    <row r="136" spans="1:8" x14ac:dyDescent="0.25">
      <c r="A136" s="1">
        <v>135</v>
      </c>
      <c r="B136" s="42">
        <v>46261</v>
      </c>
      <c r="C136" s="46">
        <v>0.83819444444444446</v>
      </c>
      <c r="D136" s="1" t="s">
        <v>166</v>
      </c>
      <c r="E136" s="47">
        <v>12000</v>
      </c>
      <c r="F136" s="1" t="s">
        <v>162</v>
      </c>
      <c r="G136" s="1" t="s">
        <v>163</v>
      </c>
      <c r="H136" s="48">
        <v>12000</v>
      </c>
    </row>
    <row r="137" spans="1:8" x14ac:dyDescent="0.25">
      <c r="A137" s="1">
        <v>136</v>
      </c>
      <c r="B137" s="42">
        <v>46261</v>
      </c>
      <c r="C137" s="46">
        <v>0.83819444444444446</v>
      </c>
      <c r="D137" s="1" t="s">
        <v>178</v>
      </c>
      <c r="E137" s="47">
        <v>31000</v>
      </c>
      <c r="F137" s="1" t="s">
        <v>58</v>
      </c>
      <c r="G137" s="1" t="s">
        <v>155</v>
      </c>
      <c r="H137" s="48">
        <v>0</v>
      </c>
    </row>
    <row r="138" spans="1:8" x14ac:dyDescent="0.25">
      <c r="A138" s="1">
        <v>137</v>
      </c>
      <c r="B138" s="42">
        <v>46261</v>
      </c>
      <c r="C138" s="46">
        <v>0.83819444444444446</v>
      </c>
      <c r="D138" s="1" t="s">
        <v>43</v>
      </c>
      <c r="E138" s="47">
        <v>23000</v>
      </c>
      <c r="F138" s="1" t="s">
        <v>154</v>
      </c>
      <c r="G138" s="1" t="s">
        <v>155</v>
      </c>
      <c r="H138" s="48">
        <v>0</v>
      </c>
    </row>
    <row r="139" spans="1:8" x14ac:dyDescent="0.25">
      <c r="A139" s="1">
        <v>138</v>
      </c>
      <c r="B139" s="42">
        <v>46261</v>
      </c>
      <c r="C139" s="46">
        <v>0.83819444444444446</v>
      </c>
      <c r="D139" s="1" t="s">
        <v>736</v>
      </c>
      <c r="E139" s="47">
        <v>31000</v>
      </c>
      <c r="F139" s="1" t="s">
        <v>58</v>
      </c>
      <c r="G139" s="1" t="s">
        <v>155</v>
      </c>
      <c r="H139" s="48">
        <v>0</v>
      </c>
    </row>
    <row r="140" spans="1:8" x14ac:dyDescent="0.25">
      <c r="A140" s="1">
        <v>139</v>
      </c>
      <c r="B140" s="42">
        <v>46261</v>
      </c>
      <c r="C140" s="46">
        <v>0.83819444444444446</v>
      </c>
      <c r="D140" s="1" t="s">
        <v>211</v>
      </c>
      <c r="E140" s="47">
        <v>6000</v>
      </c>
      <c r="F140" s="1" t="s">
        <v>154</v>
      </c>
      <c r="G140" s="1" t="s">
        <v>155</v>
      </c>
      <c r="H140" s="48">
        <v>0</v>
      </c>
    </row>
    <row r="141" spans="1:8" x14ac:dyDescent="0.25">
      <c r="A141" s="1">
        <v>140</v>
      </c>
      <c r="B141" s="42">
        <v>46261</v>
      </c>
      <c r="C141" s="46">
        <v>0.83819444444444446</v>
      </c>
      <c r="D141" s="1" t="s">
        <v>210</v>
      </c>
      <c r="E141" s="47">
        <v>19000</v>
      </c>
      <c r="F141" s="1" t="s">
        <v>154</v>
      </c>
      <c r="G141" s="1" t="s">
        <v>155</v>
      </c>
      <c r="H141" s="48">
        <v>0</v>
      </c>
    </row>
    <row r="142" spans="1:8" x14ac:dyDescent="0.25">
      <c r="A142" s="1">
        <v>141</v>
      </c>
      <c r="B142" s="42">
        <v>46261</v>
      </c>
      <c r="C142" s="46">
        <v>0.83819444444444446</v>
      </c>
      <c r="D142" s="1" t="s">
        <v>198</v>
      </c>
      <c r="E142" s="47">
        <v>25000</v>
      </c>
      <c r="F142" s="1" t="s">
        <v>58</v>
      </c>
      <c r="G142" s="1" t="s">
        <v>155</v>
      </c>
      <c r="H142" s="48">
        <v>0</v>
      </c>
    </row>
    <row r="143" spans="1:8" x14ac:dyDescent="0.25">
      <c r="A143" s="1">
        <v>142</v>
      </c>
      <c r="B143" s="42">
        <v>46261</v>
      </c>
      <c r="C143" s="46">
        <v>0.83819444444444446</v>
      </c>
      <c r="D143" s="1" t="s">
        <v>233</v>
      </c>
      <c r="E143" s="47">
        <v>10000</v>
      </c>
      <c r="F143" s="1" t="s">
        <v>58</v>
      </c>
      <c r="G143" s="1" t="s">
        <v>155</v>
      </c>
      <c r="H143" s="48">
        <v>0</v>
      </c>
    </row>
    <row r="144" spans="1:8" x14ac:dyDescent="0.25">
      <c r="A144" s="1">
        <v>143</v>
      </c>
      <c r="B144" s="42">
        <v>46261</v>
      </c>
      <c r="C144" s="46">
        <v>0.83819444444444446</v>
      </c>
      <c r="D144" s="1" t="s">
        <v>134</v>
      </c>
      <c r="E144" s="47">
        <v>18000</v>
      </c>
      <c r="F144" s="1" t="s">
        <v>58</v>
      </c>
      <c r="G144" s="1" t="s">
        <v>155</v>
      </c>
      <c r="H144" s="48">
        <v>0</v>
      </c>
    </row>
    <row r="145" spans="1:8" x14ac:dyDescent="0.25">
      <c r="A145" s="1">
        <v>144</v>
      </c>
      <c r="B145" s="42">
        <v>46261</v>
      </c>
      <c r="C145" s="46">
        <v>0.83819444444444446</v>
      </c>
      <c r="D145" s="1" t="s">
        <v>213</v>
      </c>
      <c r="E145" s="47">
        <v>10000</v>
      </c>
      <c r="F145" s="1" t="s">
        <v>154</v>
      </c>
      <c r="G145" s="1" t="s">
        <v>155</v>
      </c>
      <c r="H145" s="48">
        <v>0</v>
      </c>
    </row>
    <row r="146" spans="1:8" x14ac:dyDescent="0.25">
      <c r="A146" s="1">
        <v>145</v>
      </c>
      <c r="B146" s="42">
        <v>46261</v>
      </c>
      <c r="C146" s="46">
        <v>0.83819444444444446</v>
      </c>
      <c r="D146" s="1" t="s">
        <v>222</v>
      </c>
      <c r="E146" s="47">
        <v>6000</v>
      </c>
      <c r="F146" s="1" t="s">
        <v>58</v>
      </c>
      <c r="G146" s="1" t="s">
        <v>155</v>
      </c>
      <c r="H146" s="48">
        <v>0</v>
      </c>
    </row>
    <row r="147" spans="1:8" x14ac:dyDescent="0.25">
      <c r="A147" s="1">
        <v>146</v>
      </c>
      <c r="B147" s="42">
        <v>46262</v>
      </c>
      <c r="C147" s="46">
        <v>0.83819444444444446</v>
      </c>
      <c r="D147" s="1" t="s">
        <v>232</v>
      </c>
      <c r="E147" s="47">
        <v>6000</v>
      </c>
      <c r="F147" s="1" t="s">
        <v>154</v>
      </c>
      <c r="G147" s="1" t="s">
        <v>155</v>
      </c>
      <c r="H147" s="48">
        <v>0</v>
      </c>
    </row>
    <row r="148" spans="1:8" x14ac:dyDescent="0.25">
      <c r="A148" s="1">
        <v>147</v>
      </c>
      <c r="B148" s="42">
        <v>46262</v>
      </c>
      <c r="C148" s="46">
        <v>0.83819444444444446</v>
      </c>
      <c r="D148" s="1" t="s">
        <v>201</v>
      </c>
      <c r="E148" s="47">
        <v>9400</v>
      </c>
      <c r="F148" s="1" t="s">
        <v>58</v>
      </c>
      <c r="G148" s="1" t="s">
        <v>155</v>
      </c>
      <c r="H148" s="48">
        <v>0</v>
      </c>
    </row>
    <row r="149" spans="1:8" x14ac:dyDescent="0.25">
      <c r="A149" s="1">
        <v>148</v>
      </c>
      <c r="B149" s="42">
        <v>46262</v>
      </c>
      <c r="C149" s="46">
        <v>0.83819444444444446</v>
      </c>
      <c r="D149" s="1" t="s">
        <v>234</v>
      </c>
      <c r="E149" s="47">
        <v>7000</v>
      </c>
      <c r="F149" s="1" t="s">
        <v>162</v>
      </c>
      <c r="G149" s="1" t="s">
        <v>163</v>
      </c>
      <c r="H149" s="48">
        <v>7000</v>
      </c>
    </row>
    <row r="150" spans="1:8" x14ac:dyDescent="0.25">
      <c r="A150" s="1">
        <v>149</v>
      </c>
      <c r="B150" s="42">
        <v>46262</v>
      </c>
      <c r="C150" s="46">
        <v>0.83819444444444446</v>
      </c>
      <c r="D150" s="1" t="s">
        <v>235</v>
      </c>
      <c r="E150" s="47">
        <v>7000</v>
      </c>
      <c r="F150" s="1" t="s">
        <v>154</v>
      </c>
      <c r="G150" s="1" t="s">
        <v>155</v>
      </c>
      <c r="H150" s="48">
        <v>0</v>
      </c>
    </row>
    <row r="151" spans="1:8" x14ac:dyDescent="0.25">
      <c r="A151" s="1">
        <v>150</v>
      </c>
      <c r="B151" s="42">
        <v>46262</v>
      </c>
      <c r="C151" s="46">
        <v>0.83819444444444446</v>
      </c>
      <c r="D151" s="1" t="s">
        <v>236</v>
      </c>
      <c r="E151" s="47">
        <v>6000</v>
      </c>
      <c r="F151" s="1" t="s">
        <v>154</v>
      </c>
      <c r="G151" s="1" t="s">
        <v>155</v>
      </c>
      <c r="H151" s="48">
        <v>0</v>
      </c>
    </row>
    <row r="152" spans="1:8" x14ac:dyDescent="0.25">
      <c r="A152" s="1">
        <v>151</v>
      </c>
      <c r="B152" s="42">
        <v>46263</v>
      </c>
      <c r="C152" s="46">
        <v>0.83819444444444446</v>
      </c>
      <c r="D152" s="1" t="s">
        <v>42</v>
      </c>
      <c r="E152" s="47">
        <v>46000</v>
      </c>
      <c r="F152" s="1" t="s">
        <v>58</v>
      </c>
      <c r="G152" s="1" t="s">
        <v>155</v>
      </c>
      <c r="H152" s="48">
        <v>0</v>
      </c>
    </row>
    <row r="153" spans="1:8" x14ac:dyDescent="0.25">
      <c r="A153" s="1">
        <v>152</v>
      </c>
      <c r="B153" s="42">
        <v>46263</v>
      </c>
      <c r="C153" s="46">
        <v>0.83819444444444446</v>
      </c>
      <c r="D153" s="1" t="s">
        <v>222</v>
      </c>
      <c r="E153" s="47">
        <v>16000</v>
      </c>
      <c r="F153" s="1" t="s">
        <v>154</v>
      </c>
      <c r="G153" s="1" t="s">
        <v>155</v>
      </c>
      <c r="H153" s="48">
        <v>0</v>
      </c>
    </row>
    <row r="154" spans="1:8" x14ac:dyDescent="0.25">
      <c r="A154" s="1">
        <v>153</v>
      </c>
      <c r="B154" s="42">
        <v>46263</v>
      </c>
      <c r="C154" s="46">
        <v>0.83819444444444446</v>
      </c>
      <c r="D154" s="1" t="s">
        <v>178</v>
      </c>
      <c r="E154" s="47">
        <v>19000</v>
      </c>
      <c r="F154" s="1" t="s">
        <v>58</v>
      </c>
      <c r="G154" s="1" t="s">
        <v>155</v>
      </c>
      <c r="H154" s="48">
        <v>0</v>
      </c>
    </row>
    <row r="155" spans="1:8" x14ac:dyDescent="0.25">
      <c r="A155" s="1">
        <v>154</v>
      </c>
      <c r="B155" s="42">
        <v>46263</v>
      </c>
      <c r="C155" s="46">
        <v>0.83819444444444446</v>
      </c>
      <c r="D155" s="1" t="s">
        <v>168</v>
      </c>
      <c r="E155" s="47">
        <v>18000</v>
      </c>
      <c r="F155" s="1" t="s">
        <v>154</v>
      </c>
      <c r="G155" s="1" t="s">
        <v>155</v>
      </c>
      <c r="H155" s="48">
        <v>0</v>
      </c>
    </row>
    <row r="156" spans="1:8" x14ac:dyDescent="0.25">
      <c r="A156" s="1">
        <v>155</v>
      </c>
      <c r="B156" s="42">
        <v>46263</v>
      </c>
      <c r="C156" s="46">
        <v>0.83819444444444446</v>
      </c>
      <c r="D156" s="1" t="s">
        <v>429</v>
      </c>
      <c r="E156" s="47">
        <v>26000</v>
      </c>
      <c r="F156" s="1" t="s">
        <v>58</v>
      </c>
      <c r="G156" s="1" t="s">
        <v>155</v>
      </c>
      <c r="H156" s="48">
        <v>0</v>
      </c>
    </row>
    <row r="157" spans="1:8" x14ac:dyDescent="0.25">
      <c r="A157" s="1">
        <v>156</v>
      </c>
      <c r="B157" s="42">
        <v>46263</v>
      </c>
      <c r="C157" s="46">
        <v>0.83819444444444446</v>
      </c>
      <c r="D157" s="1" t="s">
        <v>232</v>
      </c>
      <c r="E157" s="47">
        <v>36000</v>
      </c>
      <c r="F157" s="1" t="s">
        <v>58</v>
      </c>
      <c r="G157" s="1" t="s">
        <v>155</v>
      </c>
      <c r="H157" s="48">
        <v>0</v>
      </c>
    </row>
    <row r="158" spans="1:8" x14ac:dyDescent="0.25">
      <c r="A158" s="1">
        <v>157</v>
      </c>
      <c r="B158" s="42">
        <v>46263</v>
      </c>
      <c r="C158" s="46">
        <v>0.83819444444444446</v>
      </c>
      <c r="D158" s="1" t="s">
        <v>209</v>
      </c>
      <c r="E158" s="47">
        <v>47000</v>
      </c>
      <c r="F158" s="1" t="s">
        <v>58</v>
      </c>
      <c r="G158" s="1" t="s">
        <v>155</v>
      </c>
      <c r="H158" s="48">
        <v>0</v>
      </c>
    </row>
    <row r="159" spans="1:8" x14ac:dyDescent="0.25">
      <c r="A159" s="1">
        <v>158</v>
      </c>
      <c r="B159" s="42">
        <v>46263</v>
      </c>
      <c r="C159" s="46">
        <v>0.83819444444444446</v>
      </c>
      <c r="D159" s="1" t="s">
        <v>238</v>
      </c>
      <c r="E159" s="47">
        <v>24400</v>
      </c>
      <c r="F159" s="1" t="s">
        <v>58</v>
      </c>
      <c r="G159" s="1" t="s">
        <v>155</v>
      </c>
      <c r="H159" s="48">
        <v>0</v>
      </c>
    </row>
    <row r="160" spans="1:8" x14ac:dyDescent="0.25">
      <c r="A160" s="1">
        <v>159</v>
      </c>
      <c r="B160" s="42">
        <v>46263</v>
      </c>
      <c r="C160" s="46">
        <v>0.83819444444444446</v>
      </c>
      <c r="D160" s="1" t="s">
        <v>215</v>
      </c>
      <c r="E160" s="47">
        <v>26000</v>
      </c>
      <c r="F160" s="1" t="s">
        <v>154</v>
      </c>
      <c r="G160" s="1" t="s">
        <v>155</v>
      </c>
      <c r="H160" s="48">
        <v>0</v>
      </c>
    </row>
    <row r="161" spans="1:8" x14ac:dyDescent="0.25">
      <c r="A161" s="1">
        <v>160</v>
      </c>
      <c r="B161" s="42">
        <v>46263</v>
      </c>
      <c r="C161" s="46">
        <v>0.83819444444444446</v>
      </c>
      <c r="D161" s="1" t="s">
        <v>43</v>
      </c>
      <c r="E161" s="47">
        <v>56000</v>
      </c>
      <c r="F161" s="1" t="s">
        <v>154</v>
      </c>
      <c r="G161" s="1" t="s">
        <v>155</v>
      </c>
      <c r="H161" s="48">
        <v>0</v>
      </c>
    </row>
    <row r="162" spans="1:8" x14ac:dyDescent="0.25">
      <c r="A162" s="1">
        <v>161</v>
      </c>
      <c r="B162" s="42">
        <v>46263</v>
      </c>
      <c r="C162" s="46">
        <v>0.83819444444444446</v>
      </c>
      <c r="D162" s="1" t="s">
        <v>231</v>
      </c>
      <c r="E162" s="47">
        <v>10000</v>
      </c>
      <c r="F162" s="1" t="s">
        <v>58</v>
      </c>
      <c r="G162" s="1" t="s">
        <v>155</v>
      </c>
      <c r="H162" s="48">
        <v>0</v>
      </c>
    </row>
    <row r="163" spans="1:8" x14ac:dyDescent="0.25">
      <c r="A163" s="1">
        <v>162</v>
      </c>
      <c r="B163" s="42">
        <v>46263</v>
      </c>
      <c r="C163" s="46">
        <v>0.83819444444444446</v>
      </c>
      <c r="D163" s="1" t="s">
        <v>226</v>
      </c>
      <c r="E163" s="47">
        <v>26000</v>
      </c>
      <c r="F163" s="1" t="s">
        <v>58</v>
      </c>
      <c r="G163" s="1" t="s">
        <v>155</v>
      </c>
      <c r="H163" s="48">
        <v>0</v>
      </c>
    </row>
    <row r="164" spans="1:8" x14ac:dyDescent="0.25">
      <c r="A164" s="1">
        <v>163</v>
      </c>
      <c r="B164" s="42">
        <v>46263</v>
      </c>
      <c r="C164" s="46">
        <v>0.83819444444444446</v>
      </c>
      <c r="D164" s="1" t="s">
        <v>166</v>
      </c>
      <c r="E164" s="47">
        <v>38000</v>
      </c>
      <c r="F164" s="1" t="s">
        <v>58</v>
      </c>
      <c r="G164" s="1" t="s">
        <v>155</v>
      </c>
      <c r="H164" s="48">
        <v>0</v>
      </c>
    </row>
    <row r="165" spans="1:8" x14ac:dyDescent="0.25">
      <c r="A165" s="1">
        <v>164</v>
      </c>
      <c r="B165" s="42">
        <v>46263</v>
      </c>
      <c r="C165" s="46">
        <v>0.83819444444444446</v>
      </c>
      <c r="D165" s="1" t="s">
        <v>210</v>
      </c>
      <c r="E165" s="47">
        <v>14000</v>
      </c>
      <c r="F165" s="1" t="s">
        <v>58</v>
      </c>
      <c r="G165" s="1" t="s">
        <v>155</v>
      </c>
      <c r="H165" s="48">
        <v>0</v>
      </c>
    </row>
    <row r="166" spans="1:8" x14ac:dyDescent="0.25">
      <c r="A166" s="1">
        <v>165</v>
      </c>
      <c r="B166" s="42">
        <v>46263</v>
      </c>
      <c r="C166" s="46">
        <v>0.83819444444444446</v>
      </c>
      <c r="D166" s="1" t="s">
        <v>239</v>
      </c>
      <c r="E166" s="47">
        <v>27000</v>
      </c>
      <c r="F166" s="1" t="s">
        <v>154</v>
      </c>
      <c r="G166" s="1" t="s">
        <v>155</v>
      </c>
      <c r="H166" s="48">
        <v>0</v>
      </c>
    </row>
    <row r="167" spans="1:8" x14ac:dyDescent="0.25">
      <c r="A167" s="1">
        <v>166</v>
      </c>
      <c r="B167" s="42">
        <v>46263</v>
      </c>
      <c r="C167" s="46">
        <v>0.83819444444444446</v>
      </c>
      <c r="D167" s="1" t="s">
        <v>231</v>
      </c>
      <c r="E167" s="47">
        <v>12000</v>
      </c>
      <c r="F167" s="1" t="s">
        <v>162</v>
      </c>
      <c r="G167" s="1" t="s">
        <v>163</v>
      </c>
      <c r="H167" s="48">
        <v>12000</v>
      </c>
    </row>
    <row r="168" spans="1:8" x14ac:dyDescent="0.25">
      <c r="A168" s="1">
        <v>167</v>
      </c>
      <c r="B168" s="42">
        <v>46263</v>
      </c>
      <c r="C168" s="46">
        <v>0.83819444444444446</v>
      </c>
      <c r="D168" s="1" t="s">
        <v>134</v>
      </c>
      <c r="E168" s="47">
        <v>9000</v>
      </c>
      <c r="F168" s="1" t="s">
        <v>58</v>
      </c>
      <c r="G168" s="1" t="s">
        <v>155</v>
      </c>
      <c r="H168" s="48">
        <v>0</v>
      </c>
    </row>
    <row r="169" spans="1:8" x14ac:dyDescent="0.25">
      <c r="A169" s="1">
        <v>168</v>
      </c>
      <c r="B169" s="42">
        <v>46263</v>
      </c>
      <c r="C169" s="46">
        <v>0.83819444444444446</v>
      </c>
      <c r="D169" s="1" t="s">
        <v>134</v>
      </c>
      <c r="E169" s="47">
        <v>36000</v>
      </c>
      <c r="F169" s="1" t="s">
        <v>58</v>
      </c>
      <c r="G169" s="1" t="s">
        <v>155</v>
      </c>
      <c r="H169" s="48">
        <v>0</v>
      </c>
    </row>
    <row r="170" spans="1:8" x14ac:dyDescent="0.25">
      <c r="A170" s="1">
        <v>169</v>
      </c>
      <c r="B170" s="42">
        <v>46263</v>
      </c>
      <c r="C170" s="46">
        <v>0.83819444444444446</v>
      </c>
      <c r="D170" s="1" t="s">
        <v>43</v>
      </c>
      <c r="E170" s="47">
        <v>10000</v>
      </c>
      <c r="F170" s="1" t="s">
        <v>58</v>
      </c>
      <c r="G170" s="1" t="s">
        <v>155</v>
      </c>
      <c r="H170" s="48">
        <v>0</v>
      </c>
    </row>
    <row r="171" spans="1:8" x14ac:dyDescent="0.25">
      <c r="A171" s="1">
        <v>170</v>
      </c>
      <c r="B171" s="42">
        <v>46263</v>
      </c>
      <c r="C171" s="46">
        <v>0.83819444444444446</v>
      </c>
      <c r="D171" s="1" t="s">
        <v>232</v>
      </c>
      <c r="E171" s="47">
        <v>11000</v>
      </c>
      <c r="F171" s="1" t="s">
        <v>154</v>
      </c>
      <c r="G171" s="1" t="s">
        <v>155</v>
      </c>
      <c r="H171" s="48">
        <v>0</v>
      </c>
    </row>
    <row r="172" spans="1:8" x14ac:dyDescent="0.25">
      <c r="A172" s="1">
        <v>171</v>
      </c>
      <c r="B172" s="42">
        <v>46267</v>
      </c>
      <c r="C172" s="46">
        <v>0.83819444444444446</v>
      </c>
      <c r="D172" s="1" t="s">
        <v>201</v>
      </c>
      <c r="E172" s="47">
        <v>38400</v>
      </c>
      <c r="F172" s="1" t="s">
        <v>154</v>
      </c>
      <c r="G172" s="1" t="s">
        <v>155</v>
      </c>
      <c r="H172" s="48">
        <v>0</v>
      </c>
    </row>
    <row r="173" spans="1:8" x14ac:dyDescent="0.25">
      <c r="A173" s="1">
        <v>172</v>
      </c>
      <c r="B173" s="42">
        <v>46267</v>
      </c>
      <c r="C173" s="46">
        <v>0.83819444444444446</v>
      </c>
      <c r="D173" s="1" t="s">
        <v>45</v>
      </c>
      <c r="E173" s="47">
        <v>30000</v>
      </c>
      <c r="F173" s="1" t="s">
        <v>154</v>
      </c>
      <c r="G173" s="1" t="s">
        <v>155</v>
      </c>
      <c r="H173" s="48">
        <v>0</v>
      </c>
    </row>
    <row r="174" spans="1:8" x14ac:dyDescent="0.25">
      <c r="A174" s="1">
        <v>173</v>
      </c>
      <c r="B174" s="42">
        <v>46267</v>
      </c>
      <c r="C174" s="46">
        <v>0.83819444444444446</v>
      </c>
      <c r="D174" s="1" t="s">
        <v>199</v>
      </c>
      <c r="E174" s="47">
        <v>14000</v>
      </c>
      <c r="F174" s="1" t="s">
        <v>162</v>
      </c>
      <c r="G174" s="1" t="s">
        <v>163</v>
      </c>
      <c r="H174" s="48">
        <v>14000</v>
      </c>
    </row>
    <row r="175" spans="1:8" x14ac:dyDescent="0.25">
      <c r="A175" s="1">
        <v>174</v>
      </c>
      <c r="B175" s="42">
        <v>46268</v>
      </c>
      <c r="C175" s="46">
        <v>0.83819444444444446</v>
      </c>
      <c r="D175" s="1" t="s">
        <v>229</v>
      </c>
      <c r="E175" s="47">
        <v>43000</v>
      </c>
      <c r="F175" s="1" t="s">
        <v>154</v>
      </c>
      <c r="G175" s="1" t="s">
        <v>155</v>
      </c>
      <c r="H175" s="48">
        <v>0</v>
      </c>
    </row>
    <row r="176" spans="1:8" x14ac:dyDescent="0.25">
      <c r="A176" s="1">
        <v>175</v>
      </c>
      <c r="B176" s="42">
        <v>46268</v>
      </c>
      <c r="C176" s="46">
        <v>0.83819444444444446</v>
      </c>
      <c r="D176" s="1" t="s">
        <v>207</v>
      </c>
      <c r="E176" s="47">
        <v>30000</v>
      </c>
      <c r="F176" s="1" t="s">
        <v>58</v>
      </c>
      <c r="G176" s="1" t="s">
        <v>155</v>
      </c>
      <c r="H176" s="48">
        <v>0</v>
      </c>
    </row>
    <row r="177" spans="1:8" x14ac:dyDescent="0.25">
      <c r="A177" s="1">
        <v>176</v>
      </c>
      <c r="B177" s="42">
        <v>46268</v>
      </c>
      <c r="C177" s="46">
        <v>0.83819444444444446</v>
      </c>
      <c r="D177" s="1" t="s">
        <v>206</v>
      </c>
      <c r="E177" s="47">
        <v>18800</v>
      </c>
      <c r="F177" s="1" t="s">
        <v>154</v>
      </c>
      <c r="G177" s="1" t="s">
        <v>155</v>
      </c>
      <c r="H177" s="48">
        <v>0</v>
      </c>
    </row>
    <row r="178" spans="1:8" x14ac:dyDescent="0.25">
      <c r="A178" s="1">
        <v>177</v>
      </c>
      <c r="B178" s="42">
        <v>46268</v>
      </c>
      <c r="C178" s="46">
        <v>0.83819444444444446</v>
      </c>
      <c r="D178" s="1" t="s">
        <v>208</v>
      </c>
      <c r="E178" s="47">
        <v>6000</v>
      </c>
      <c r="F178" s="1" t="s">
        <v>58</v>
      </c>
      <c r="G178" s="1" t="s">
        <v>155</v>
      </c>
      <c r="H178" s="48">
        <v>0</v>
      </c>
    </row>
    <row r="179" spans="1:8" x14ac:dyDescent="0.25">
      <c r="A179" s="1">
        <v>178</v>
      </c>
      <c r="B179" s="42">
        <v>46268</v>
      </c>
      <c r="C179" s="46">
        <v>0.83819444444444446</v>
      </c>
      <c r="D179" s="1" t="s">
        <v>134</v>
      </c>
      <c r="E179" s="47">
        <v>6000</v>
      </c>
      <c r="F179" s="1" t="s">
        <v>58</v>
      </c>
      <c r="G179" s="1" t="s">
        <v>155</v>
      </c>
      <c r="H179" s="48">
        <v>0</v>
      </c>
    </row>
    <row r="180" spans="1:8" x14ac:dyDescent="0.25">
      <c r="A180" s="1">
        <v>179</v>
      </c>
      <c r="B180" s="42">
        <v>46268</v>
      </c>
      <c r="C180" s="46">
        <v>0.83819444444444446</v>
      </c>
      <c r="D180" s="1" t="s">
        <v>168</v>
      </c>
      <c r="E180" s="47">
        <v>12000</v>
      </c>
      <c r="F180" s="1" t="s">
        <v>154</v>
      </c>
      <c r="G180" s="1" t="s">
        <v>155</v>
      </c>
      <c r="H180" s="48">
        <v>0</v>
      </c>
    </row>
    <row r="181" spans="1:8" x14ac:dyDescent="0.25">
      <c r="A181" s="1">
        <v>180</v>
      </c>
      <c r="B181" s="42">
        <v>46268</v>
      </c>
      <c r="C181" s="46">
        <v>0.83819444444444446</v>
      </c>
      <c r="D181" s="1" t="s">
        <v>166</v>
      </c>
      <c r="E181" s="47">
        <v>9000</v>
      </c>
      <c r="F181" s="1" t="s">
        <v>162</v>
      </c>
      <c r="G181" s="1" t="s">
        <v>163</v>
      </c>
      <c r="H181" s="48">
        <v>9000</v>
      </c>
    </row>
    <row r="182" spans="1:8" x14ac:dyDescent="0.25">
      <c r="A182" s="1">
        <v>181</v>
      </c>
      <c r="B182" s="42">
        <v>46269</v>
      </c>
      <c r="C182" s="46">
        <v>0.83819444444444446</v>
      </c>
      <c r="D182" s="1" t="s">
        <v>45</v>
      </c>
      <c r="E182" s="47">
        <v>27000</v>
      </c>
      <c r="F182" s="1" t="s">
        <v>154</v>
      </c>
      <c r="G182" s="1" t="s">
        <v>155</v>
      </c>
      <c r="H182" s="48">
        <v>0</v>
      </c>
    </row>
    <row r="183" spans="1:8" x14ac:dyDescent="0.25">
      <c r="A183" s="1">
        <v>182</v>
      </c>
      <c r="B183" s="42">
        <v>46269</v>
      </c>
      <c r="C183" s="46">
        <v>0.83819444444444446</v>
      </c>
      <c r="D183" s="1" t="s">
        <v>46</v>
      </c>
      <c r="E183" s="47">
        <v>12000</v>
      </c>
      <c r="F183" s="1" t="s">
        <v>154</v>
      </c>
      <c r="G183" s="1" t="s">
        <v>155</v>
      </c>
      <c r="H183" s="48">
        <v>0</v>
      </c>
    </row>
    <row r="184" spans="1:8" x14ac:dyDescent="0.25">
      <c r="A184" s="1">
        <v>183</v>
      </c>
      <c r="B184" s="42">
        <v>46269</v>
      </c>
      <c r="C184" s="46">
        <v>0.83819444444444446</v>
      </c>
      <c r="D184" s="1" t="s">
        <v>247</v>
      </c>
      <c r="E184" s="47">
        <f>3000+9000+9000+8000+9000+8000+8000</f>
        <v>54000</v>
      </c>
      <c r="F184" s="1" t="s">
        <v>162</v>
      </c>
      <c r="G184" s="1" t="s">
        <v>163</v>
      </c>
      <c r="H184" s="48">
        <v>54000</v>
      </c>
    </row>
    <row r="185" spans="1:8" x14ac:dyDescent="0.25">
      <c r="A185" s="1">
        <v>184</v>
      </c>
      <c r="B185" s="42">
        <v>46269</v>
      </c>
      <c r="C185" s="46">
        <v>0.83819444444444446</v>
      </c>
      <c r="D185" s="1" t="s">
        <v>231</v>
      </c>
      <c r="E185" s="47">
        <f>3000+8000+6000+3000</f>
        <v>20000</v>
      </c>
      <c r="F185" s="1" t="s">
        <v>58</v>
      </c>
      <c r="G185" s="1" t="s">
        <v>155</v>
      </c>
      <c r="H185" s="48">
        <v>0</v>
      </c>
    </row>
    <row r="186" spans="1:8" x14ac:dyDescent="0.25">
      <c r="A186" s="1">
        <v>185</v>
      </c>
      <c r="B186" s="42">
        <v>46269</v>
      </c>
      <c r="C186" s="46">
        <v>0.83819444444444446</v>
      </c>
      <c r="D186" s="1" t="s">
        <v>213</v>
      </c>
      <c r="E186" s="47">
        <f>6000+10000</f>
        <v>16000</v>
      </c>
      <c r="F186" s="1" t="s">
        <v>154</v>
      </c>
      <c r="G186" s="1" t="s">
        <v>155</v>
      </c>
      <c r="H186" s="48">
        <v>16000</v>
      </c>
    </row>
    <row r="187" spans="1:8" x14ac:dyDescent="0.25">
      <c r="A187" s="1">
        <v>186</v>
      </c>
      <c r="B187" s="42">
        <v>46269</v>
      </c>
      <c r="C187" s="46">
        <v>0.83819444444444446</v>
      </c>
      <c r="D187" s="1" t="s">
        <v>166</v>
      </c>
      <c r="E187" s="47">
        <v>65400</v>
      </c>
      <c r="F187" s="1" t="s">
        <v>154</v>
      </c>
      <c r="G187" s="1" t="s">
        <v>155</v>
      </c>
      <c r="H187" s="48">
        <v>0</v>
      </c>
    </row>
    <row r="188" spans="1:8" x14ac:dyDescent="0.25">
      <c r="A188" s="1">
        <v>187</v>
      </c>
      <c r="B188" s="42">
        <v>46269</v>
      </c>
      <c r="C188" s="46">
        <v>0.83819444444444446</v>
      </c>
      <c r="D188" s="1" t="s">
        <v>210</v>
      </c>
      <c r="E188" s="47">
        <v>4000</v>
      </c>
      <c r="F188" s="1" t="s">
        <v>58</v>
      </c>
      <c r="G188" s="1" t="s">
        <v>155</v>
      </c>
      <c r="H188" s="48">
        <v>0</v>
      </c>
    </row>
    <row r="189" spans="1:8" x14ac:dyDescent="0.25">
      <c r="A189" s="1">
        <v>188</v>
      </c>
      <c r="B189" s="42">
        <v>46269</v>
      </c>
      <c r="C189" s="46">
        <v>0.83819444444444446</v>
      </c>
      <c r="D189" s="1" t="s">
        <v>42</v>
      </c>
      <c r="E189" s="47">
        <v>6000</v>
      </c>
      <c r="F189" s="1" t="s">
        <v>154</v>
      </c>
      <c r="G189" s="1" t="s">
        <v>155</v>
      </c>
      <c r="H189" s="48">
        <v>0</v>
      </c>
    </row>
    <row r="190" spans="1:8" x14ac:dyDescent="0.25">
      <c r="A190" s="1">
        <v>189</v>
      </c>
      <c r="B190" s="42">
        <v>46269</v>
      </c>
      <c r="C190" s="46">
        <v>0.83819444444444446</v>
      </c>
      <c r="D190" s="1" t="s">
        <v>198</v>
      </c>
      <c r="E190" s="47">
        <v>47000</v>
      </c>
      <c r="F190" s="1" t="s">
        <v>154</v>
      </c>
      <c r="G190" s="1" t="s">
        <v>155</v>
      </c>
      <c r="H190" s="48">
        <v>0</v>
      </c>
    </row>
    <row r="191" spans="1:8" x14ac:dyDescent="0.25">
      <c r="A191" s="1">
        <v>190</v>
      </c>
      <c r="B191" s="42">
        <v>46269</v>
      </c>
      <c r="C191" s="46">
        <v>0.83819444444444446</v>
      </c>
      <c r="D191" s="1" t="s">
        <v>211</v>
      </c>
      <c r="E191" s="47">
        <v>9000</v>
      </c>
      <c r="F191" s="1" t="s">
        <v>154</v>
      </c>
      <c r="G191" s="1" t="s">
        <v>155</v>
      </c>
      <c r="H191" s="48">
        <v>0</v>
      </c>
    </row>
    <row r="192" spans="1:8" x14ac:dyDescent="0.25">
      <c r="A192" s="1">
        <v>191</v>
      </c>
      <c r="B192" s="42">
        <v>46269</v>
      </c>
      <c r="C192" s="46">
        <v>0.83819444444444446</v>
      </c>
      <c r="D192" s="1" t="s">
        <v>249</v>
      </c>
      <c r="E192" s="47">
        <v>21000</v>
      </c>
      <c r="F192" s="1" t="s">
        <v>154</v>
      </c>
      <c r="G192" s="1" t="s">
        <v>155</v>
      </c>
      <c r="H192" s="48">
        <v>0</v>
      </c>
    </row>
    <row r="193" spans="1:8" x14ac:dyDescent="0.25">
      <c r="A193" s="1">
        <v>192</v>
      </c>
      <c r="B193" s="42">
        <v>46269</v>
      </c>
      <c r="C193" s="46">
        <v>0.83819444444444446</v>
      </c>
      <c r="D193" s="1" t="s">
        <v>250</v>
      </c>
      <c r="E193" s="47">
        <v>20000</v>
      </c>
      <c r="F193" s="1" t="s">
        <v>58</v>
      </c>
      <c r="G193" s="1" t="s">
        <v>155</v>
      </c>
      <c r="H193" s="48">
        <v>0</v>
      </c>
    </row>
    <row r="194" spans="1:8" x14ac:dyDescent="0.25">
      <c r="A194" s="1">
        <v>193</v>
      </c>
      <c r="B194" s="42">
        <v>46269</v>
      </c>
      <c r="C194" s="46">
        <v>0.83819444444444446</v>
      </c>
      <c r="D194" s="1" t="s">
        <v>251</v>
      </c>
      <c r="E194" s="47">
        <v>48000</v>
      </c>
      <c r="F194" s="1" t="s">
        <v>154</v>
      </c>
      <c r="G194" s="1" t="s">
        <v>155</v>
      </c>
      <c r="H194" s="48">
        <v>0</v>
      </c>
    </row>
    <row r="195" spans="1:8" x14ac:dyDescent="0.25">
      <c r="A195" s="1">
        <v>194</v>
      </c>
      <c r="B195" s="42">
        <v>46269</v>
      </c>
      <c r="C195" s="46">
        <v>0.83819444444444446</v>
      </c>
      <c r="D195" s="1" t="s">
        <v>253</v>
      </c>
      <c r="E195" s="47">
        <v>12000</v>
      </c>
      <c r="F195" s="1" t="s">
        <v>162</v>
      </c>
      <c r="G195" s="1" t="s">
        <v>163</v>
      </c>
      <c r="H195" s="48">
        <v>12000</v>
      </c>
    </row>
    <row r="196" spans="1:8" x14ac:dyDescent="0.25">
      <c r="A196" s="1">
        <v>195</v>
      </c>
      <c r="B196" s="42">
        <v>46269</v>
      </c>
      <c r="C196" s="46">
        <v>0.83819444444444446</v>
      </c>
      <c r="D196" s="1" t="s">
        <v>231</v>
      </c>
      <c r="E196" s="47">
        <v>4000</v>
      </c>
      <c r="F196" s="1" t="s">
        <v>58</v>
      </c>
      <c r="G196" s="1" t="s">
        <v>155</v>
      </c>
      <c r="H196" s="48">
        <v>0</v>
      </c>
    </row>
    <row r="197" spans="1:8" x14ac:dyDescent="0.25">
      <c r="A197" s="1">
        <v>196</v>
      </c>
      <c r="B197" s="42">
        <v>46269</v>
      </c>
      <c r="C197" s="46">
        <v>0.83819444444444446</v>
      </c>
      <c r="D197" s="1" t="s">
        <v>43</v>
      </c>
      <c r="E197" s="47">
        <v>3000</v>
      </c>
      <c r="F197" s="1" t="s">
        <v>58</v>
      </c>
      <c r="G197" s="1" t="s">
        <v>155</v>
      </c>
      <c r="H197" s="48">
        <v>0</v>
      </c>
    </row>
    <row r="198" spans="1:8" x14ac:dyDescent="0.25">
      <c r="A198" s="1">
        <v>197</v>
      </c>
      <c r="B198" s="42">
        <v>46269</v>
      </c>
      <c r="C198" s="46">
        <v>0.83819444444444446</v>
      </c>
      <c r="D198" s="1" t="s">
        <v>177</v>
      </c>
      <c r="E198" s="47">
        <v>10000</v>
      </c>
      <c r="F198" s="1" t="s">
        <v>58</v>
      </c>
      <c r="G198" s="1" t="s">
        <v>155</v>
      </c>
      <c r="H198" s="48">
        <v>0</v>
      </c>
    </row>
    <row r="199" spans="1:8" x14ac:dyDescent="0.25">
      <c r="A199" s="1">
        <v>198</v>
      </c>
      <c r="B199" s="42">
        <v>46269</v>
      </c>
      <c r="C199" s="46">
        <v>0.83819444444444446</v>
      </c>
      <c r="D199" s="1" t="s">
        <v>210</v>
      </c>
      <c r="E199" s="47">
        <v>10000</v>
      </c>
      <c r="F199" s="1" t="s">
        <v>154</v>
      </c>
      <c r="G199" s="1" t="s">
        <v>155</v>
      </c>
      <c r="H199" s="48">
        <v>0</v>
      </c>
    </row>
    <row r="200" spans="1:8" x14ac:dyDescent="0.25">
      <c r="A200" s="1">
        <v>199</v>
      </c>
      <c r="B200" s="42">
        <v>46269</v>
      </c>
      <c r="C200" s="46">
        <v>0.83819444444444446</v>
      </c>
      <c r="D200" s="1" t="s">
        <v>209</v>
      </c>
      <c r="E200" s="47">
        <v>35000</v>
      </c>
      <c r="F200" s="1" t="s">
        <v>154</v>
      </c>
      <c r="G200" s="1" t="s">
        <v>155</v>
      </c>
      <c r="H200" s="48">
        <v>0</v>
      </c>
    </row>
    <row r="201" spans="1:8" x14ac:dyDescent="0.25">
      <c r="A201" s="1">
        <v>200</v>
      </c>
      <c r="B201" s="42">
        <v>46269</v>
      </c>
      <c r="C201" s="46">
        <v>0.83819444444444446</v>
      </c>
      <c r="D201" s="1" t="s">
        <v>255</v>
      </c>
      <c r="E201" s="47">
        <v>22000</v>
      </c>
      <c r="F201" s="1" t="s">
        <v>154</v>
      </c>
      <c r="G201" s="1" t="s">
        <v>155</v>
      </c>
      <c r="H201" s="48">
        <v>0</v>
      </c>
    </row>
    <row r="202" spans="1:8" x14ac:dyDescent="0.25">
      <c r="A202" s="1">
        <v>201</v>
      </c>
      <c r="B202" s="42">
        <v>46269</v>
      </c>
      <c r="C202" s="46">
        <v>0.83819444444444446</v>
      </c>
      <c r="D202" s="1" t="s">
        <v>174</v>
      </c>
      <c r="E202" s="47">
        <v>6000</v>
      </c>
      <c r="F202" s="1" t="s">
        <v>162</v>
      </c>
      <c r="G202" s="1" t="s">
        <v>163</v>
      </c>
      <c r="H202" s="48">
        <v>6000</v>
      </c>
    </row>
    <row r="203" spans="1:8" x14ac:dyDescent="0.25">
      <c r="A203" s="1">
        <v>202</v>
      </c>
      <c r="B203" s="42">
        <v>46269</v>
      </c>
      <c r="C203" s="46">
        <v>0.83819444444444446</v>
      </c>
      <c r="D203" s="1" t="s">
        <v>212</v>
      </c>
      <c r="E203" s="47">
        <v>6000</v>
      </c>
      <c r="F203" s="1" t="s">
        <v>58</v>
      </c>
      <c r="G203" s="1" t="s">
        <v>155</v>
      </c>
      <c r="H203" s="48">
        <v>0</v>
      </c>
    </row>
    <row r="204" spans="1:8" x14ac:dyDescent="0.25">
      <c r="A204" s="1">
        <v>203</v>
      </c>
      <c r="B204" s="42">
        <v>46269</v>
      </c>
      <c r="C204" s="46">
        <v>0.83819444444444446</v>
      </c>
      <c r="D204" s="1" t="s">
        <v>427</v>
      </c>
      <c r="E204" s="47">
        <v>9000</v>
      </c>
      <c r="F204" s="1" t="s">
        <v>154</v>
      </c>
      <c r="G204" s="1" t="s">
        <v>155</v>
      </c>
      <c r="H204" s="48">
        <v>0</v>
      </c>
    </row>
    <row r="205" spans="1:8" x14ac:dyDescent="0.25">
      <c r="A205" s="1">
        <v>204</v>
      </c>
      <c r="B205" s="42">
        <v>46269</v>
      </c>
      <c r="C205" s="46">
        <v>0.83819444444444446</v>
      </c>
      <c r="D205" s="1" t="s">
        <v>254</v>
      </c>
      <c r="E205" s="47">
        <v>9000</v>
      </c>
      <c r="F205" s="1" t="s">
        <v>58</v>
      </c>
      <c r="G205" s="1" t="s">
        <v>155</v>
      </c>
      <c r="H205" s="48">
        <v>0</v>
      </c>
    </row>
    <row r="206" spans="1:8" x14ac:dyDescent="0.25">
      <c r="A206" s="1">
        <v>205</v>
      </c>
      <c r="B206" s="42">
        <v>46269</v>
      </c>
      <c r="C206" s="46">
        <v>0.83819444444444446</v>
      </c>
      <c r="D206" s="1" t="s">
        <v>211</v>
      </c>
      <c r="E206" s="47">
        <v>6000</v>
      </c>
      <c r="F206" s="1" t="s">
        <v>58</v>
      </c>
      <c r="G206" s="1" t="s">
        <v>155</v>
      </c>
      <c r="H206" s="48">
        <v>0</v>
      </c>
    </row>
    <row r="207" spans="1:8" x14ac:dyDescent="0.25">
      <c r="A207" s="1">
        <v>206</v>
      </c>
      <c r="B207" s="42">
        <v>46269</v>
      </c>
      <c r="C207" s="46">
        <v>0.83819444444444446</v>
      </c>
      <c r="D207" s="1" t="s">
        <v>134</v>
      </c>
      <c r="E207" s="47">
        <v>38000</v>
      </c>
      <c r="F207" s="1" t="s">
        <v>154</v>
      </c>
      <c r="G207" s="1" t="s">
        <v>155</v>
      </c>
      <c r="H207" s="48">
        <v>38000</v>
      </c>
    </row>
    <row r="208" spans="1:8" x14ac:dyDescent="0.25">
      <c r="A208" s="1">
        <v>207</v>
      </c>
      <c r="B208" s="42">
        <v>46270</v>
      </c>
      <c r="C208" s="46">
        <v>0.83819444444444446</v>
      </c>
      <c r="D208" s="1" t="s">
        <v>43</v>
      </c>
      <c r="E208" s="47">
        <v>19000</v>
      </c>
      <c r="F208" s="1" t="s">
        <v>154</v>
      </c>
      <c r="G208" s="1" t="s">
        <v>155</v>
      </c>
      <c r="H208" s="48">
        <v>0</v>
      </c>
    </row>
    <row r="209" spans="1:8" x14ac:dyDescent="0.25">
      <c r="A209" s="1">
        <v>208</v>
      </c>
      <c r="B209" s="42">
        <v>46270</v>
      </c>
      <c r="C209" s="46">
        <v>0.83819444444444446</v>
      </c>
      <c r="D209" s="1" t="s">
        <v>42</v>
      </c>
      <c r="E209" s="47">
        <v>30000</v>
      </c>
      <c r="F209" s="1" t="s">
        <v>58</v>
      </c>
      <c r="G209" s="1" t="s">
        <v>155</v>
      </c>
      <c r="H209" s="48">
        <v>0</v>
      </c>
    </row>
    <row r="210" spans="1:8" x14ac:dyDescent="0.25">
      <c r="A210" s="1">
        <v>209</v>
      </c>
      <c r="B210" s="42">
        <v>46270</v>
      </c>
      <c r="C210" s="46">
        <v>0.83819444444444446</v>
      </c>
      <c r="D210" s="1" t="s">
        <v>238</v>
      </c>
      <c r="E210" s="47">
        <v>13200</v>
      </c>
      <c r="F210" s="1" t="s">
        <v>162</v>
      </c>
      <c r="G210" s="1" t="s">
        <v>163</v>
      </c>
      <c r="H210" s="48">
        <v>13200</v>
      </c>
    </row>
    <row r="211" spans="1:8" x14ac:dyDescent="0.25">
      <c r="A211" s="1">
        <v>210</v>
      </c>
      <c r="B211" s="42">
        <v>46270</v>
      </c>
      <c r="C211" s="46">
        <v>0.83819444444444446</v>
      </c>
      <c r="D211" s="1" t="s">
        <v>178</v>
      </c>
      <c r="E211" s="47">
        <v>40000</v>
      </c>
      <c r="F211" s="1" t="s">
        <v>162</v>
      </c>
      <c r="G211" s="1" t="s">
        <v>155</v>
      </c>
      <c r="H211" s="48">
        <v>0</v>
      </c>
    </row>
    <row r="212" spans="1:8" x14ac:dyDescent="0.25">
      <c r="A212" s="1">
        <v>211</v>
      </c>
      <c r="B212" s="42">
        <v>46270</v>
      </c>
      <c r="C212" s="46">
        <v>0.83819444444444446</v>
      </c>
      <c r="D212" s="1" t="s">
        <v>134</v>
      </c>
      <c r="E212" s="47">
        <v>13000</v>
      </c>
      <c r="F212" s="1" t="s">
        <v>154</v>
      </c>
      <c r="G212" s="1" t="s">
        <v>155</v>
      </c>
      <c r="H212" s="48">
        <v>0</v>
      </c>
    </row>
    <row r="213" spans="1:8" x14ac:dyDescent="0.25">
      <c r="A213" s="1">
        <v>212</v>
      </c>
      <c r="B213" s="42">
        <v>46270</v>
      </c>
      <c r="C213" s="46">
        <v>0.83819444444444446</v>
      </c>
      <c r="D213" s="1" t="s">
        <v>234</v>
      </c>
      <c r="E213" s="47">
        <v>39000</v>
      </c>
      <c r="F213" s="1" t="s">
        <v>58</v>
      </c>
      <c r="G213" s="1" t="s">
        <v>155</v>
      </c>
      <c r="H213" s="48">
        <v>0</v>
      </c>
    </row>
    <row r="214" spans="1:8" x14ac:dyDescent="0.25">
      <c r="A214" s="1">
        <v>213</v>
      </c>
      <c r="B214" s="42">
        <v>46270</v>
      </c>
      <c r="C214" s="46">
        <v>0.83819444444444446</v>
      </c>
      <c r="D214" s="1" t="s">
        <v>429</v>
      </c>
      <c r="E214" s="47">
        <v>32000</v>
      </c>
      <c r="F214" s="1" t="s">
        <v>58</v>
      </c>
      <c r="G214" s="1" t="s">
        <v>155</v>
      </c>
      <c r="H214" s="48">
        <v>0</v>
      </c>
    </row>
    <row r="215" spans="1:8" x14ac:dyDescent="0.25">
      <c r="A215" s="1">
        <v>214</v>
      </c>
      <c r="B215" s="42">
        <v>46270</v>
      </c>
      <c r="C215" s="46">
        <v>0.83819444444444446</v>
      </c>
      <c r="D215" s="1" t="s">
        <v>428</v>
      </c>
      <c r="E215" s="47">
        <v>32000</v>
      </c>
      <c r="F215" s="1" t="s">
        <v>154</v>
      </c>
      <c r="G215" s="1" t="s">
        <v>155</v>
      </c>
      <c r="H215" s="48">
        <v>0</v>
      </c>
    </row>
    <row r="216" spans="1:8" x14ac:dyDescent="0.25">
      <c r="A216" s="1">
        <v>215</v>
      </c>
      <c r="B216" s="42">
        <v>46270</v>
      </c>
      <c r="C216" s="46">
        <v>0.83819444444444446</v>
      </c>
      <c r="D216" s="1" t="s">
        <v>168</v>
      </c>
      <c r="E216" s="47">
        <v>18000</v>
      </c>
      <c r="F216" s="1" t="s">
        <v>154</v>
      </c>
      <c r="G216" s="1" t="s">
        <v>155</v>
      </c>
      <c r="H216" s="48">
        <v>0</v>
      </c>
    </row>
    <row r="217" spans="1:8" ht="30" x14ac:dyDescent="0.25">
      <c r="A217" s="1">
        <v>216</v>
      </c>
      <c r="B217" s="42">
        <v>46270</v>
      </c>
      <c r="C217" s="46">
        <v>0.83819444444444446</v>
      </c>
      <c r="D217" s="1" t="s">
        <v>169</v>
      </c>
      <c r="E217" s="47">
        <v>93400</v>
      </c>
      <c r="F217" s="1" t="s">
        <v>887</v>
      </c>
      <c r="G217" s="1" t="s">
        <v>155</v>
      </c>
      <c r="H217" s="48">
        <v>0</v>
      </c>
    </row>
    <row r="218" spans="1:8" x14ac:dyDescent="0.25">
      <c r="A218" s="1">
        <v>217</v>
      </c>
      <c r="B218" s="42">
        <v>46270</v>
      </c>
      <c r="C218" s="46">
        <v>0.83819444444444446</v>
      </c>
      <c r="D218" s="1" t="s">
        <v>44</v>
      </c>
      <c r="E218" s="47">
        <v>17000</v>
      </c>
      <c r="F218" s="1" t="s">
        <v>154</v>
      </c>
      <c r="G218" s="1" t="s">
        <v>155</v>
      </c>
      <c r="H218" s="48">
        <v>0</v>
      </c>
    </row>
    <row r="219" spans="1:8" x14ac:dyDescent="0.25">
      <c r="A219" s="1">
        <v>218</v>
      </c>
      <c r="B219" s="42">
        <v>46270</v>
      </c>
      <c r="C219" s="46">
        <v>0.83819444444444446</v>
      </c>
      <c r="D219" s="1" t="s">
        <v>218</v>
      </c>
      <c r="E219" s="47">
        <v>28000</v>
      </c>
      <c r="F219" s="1" t="s">
        <v>154</v>
      </c>
      <c r="G219" s="1" t="s">
        <v>155</v>
      </c>
      <c r="H219" s="48">
        <v>0</v>
      </c>
    </row>
    <row r="220" spans="1:8" x14ac:dyDescent="0.25">
      <c r="A220" s="1">
        <v>219</v>
      </c>
      <c r="B220" s="42">
        <v>46270</v>
      </c>
      <c r="C220" s="46">
        <v>0.83819444444444446</v>
      </c>
      <c r="D220" s="1" t="s">
        <v>252</v>
      </c>
      <c r="E220" s="47">
        <f>10000+7000</f>
        <v>17000</v>
      </c>
      <c r="F220" s="1" t="s">
        <v>162</v>
      </c>
      <c r="G220" s="1" t="s">
        <v>163</v>
      </c>
      <c r="H220" s="48">
        <v>17000</v>
      </c>
    </row>
    <row r="221" spans="1:8" x14ac:dyDescent="0.25">
      <c r="A221" s="1">
        <v>220</v>
      </c>
      <c r="B221" s="42">
        <v>46270</v>
      </c>
      <c r="C221" s="46">
        <v>0.83819444444444446</v>
      </c>
      <c r="D221" s="1" t="s">
        <v>202</v>
      </c>
      <c r="E221" s="47">
        <v>11400</v>
      </c>
      <c r="F221" s="1" t="s">
        <v>154</v>
      </c>
      <c r="G221" s="1" t="s">
        <v>155</v>
      </c>
      <c r="H221" s="48">
        <v>0</v>
      </c>
    </row>
    <row r="222" spans="1:8" x14ac:dyDescent="0.25">
      <c r="A222" s="1">
        <v>221</v>
      </c>
      <c r="B222" s="42">
        <v>46271</v>
      </c>
      <c r="C222" s="46">
        <v>0.83819444444444446</v>
      </c>
      <c r="D222" s="1" t="s">
        <v>134</v>
      </c>
      <c r="E222" s="47">
        <v>349200</v>
      </c>
      <c r="F222" s="1" t="s">
        <v>154</v>
      </c>
      <c r="G222" s="1" t="s">
        <v>155</v>
      </c>
      <c r="H222" s="48">
        <v>0</v>
      </c>
    </row>
    <row r="223" spans="1:8" x14ac:dyDescent="0.25">
      <c r="A223" s="1">
        <v>222</v>
      </c>
      <c r="B223" s="42">
        <v>46274</v>
      </c>
      <c r="C223" s="46">
        <v>0.83819444444444446</v>
      </c>
      <c r="D223" s="1" t="s">
        <v>42</v>
      </c>
      <c r="E223" s="47">
        <v>28000</v>
      </c>
      <c r="F223" s="1" t="s">
        <v>162</v>
      </c>
      <c r="G223" s="1" t="s">
        <v>155</v>
      </c>
      <c r="H223" s="48">
        <v>0</v>
      </c>
    </row>
    <row r="224" spans="1:8" x14ac:dyDescent="0.25">
      <c r="A224" s="1">
        <v>223</v>
      </c>
      <c r="B224" s="42">
        <v>46274</v>
      </c>
      <c r="C224" s="46">
        <v>0.83819444444444446</v>
      </c>
      <c r="D224" s="1" t="s">
        <v>45</v>
      </c>
      <c r="E224" s="47">
        <v>6000</v>
      </c>
      <c r="F224" s="1" t="s">
        <v>154</v>
      </c>
      <c r="G224" s="1" t="s">
        <v>155</v>
      </c>
      <c r="H224" s="48">
        <v>0</v>
      </c>
    </row>
    <row r="225" spans="1:8" x14ac:dyDescent="0.25">
      <c r="A225" s="1">
        <v>224</v>
      </c>
      <c r="B225" s="42">
        <v>46274</v>
      </c>
      <c r="C225" s="46">
        <v>0.83819444444444446</v>
      </c>
      <c r="D225" s="1" t="s">
        <v>209</v>
      </c>
      <c r="E225" s="47">
        <v>7000</v>
      </c>
      <c r="F225" s="1" t="s">
        <v>162</v>
      </c>
      <c r="G225" s="1" t="s">
        <v>163</v>
      </c>
      <c r="H225" s="48">
        <v>7000</v>
      </c>
    </row>
    <row r="226" spans="1:8" x14ac:dyDescent="0.25">
      <c r="A226" s="1">
        <v>225</v>
      </c>
      <c r="B226" s="42">
        <v>46274</v>
      </c>
      <c r="C226" s="46">
        <v>0.83819444444444446</v>
      </c>
      <c r="D226" s="1" t="s">
        <v>211</v>
      </c>
      <c r="E226" s="47">
        <f>6000+3000</f>
        <v>9000</v>
      </c>
      <c r="F226" s="1" t="s">
        <v>154</v>
      </c>
      <c r="G226" s="1" t="s">
        <v>155</v>
      </c>
      <c r="H226" s="48">
        <v>0</v>
      </c>
    </row>
    <row r="227" spans="1:8" x14ac:dyDescent="0.25">
      <c r="A227" s="1">
        <v>226</v>
      </c>
      <c r="B227" s="42">
        <v>46274</v>
      </c>
      <c r="C227" s="46">
        <v>0.83819444444444446</v>
      </c>
      <c r="D227" s="1" t="s">
        <v>430</v>
      </c>
      <c r="E227" s="47">
        <v>12000</v>
      </c>
      <c r="F227" s="1" t="s">
        <v>154</v>
      </c>
      <c r="G227" s="1" t="s">
        <v>155</v>
      </c>
      <c r="H227" s="48">
        <v>0</v>
      </c>
    </row>
    <row r="228" spans="1:8" x14ac:dyDescent="0.25">
      <c r="A228" s="1">
        <v>227</v>
      </c>
      <c r="B228" s="42">
        <v>46274</v>
      </c>
      <c r="C228" s="46">
        <v>0.83819444444444446</v>
      </c>
      <c r="D228" s="1" t="s">
        <v>46</v>
      </c>
      <c r="E228" s="47">
        <v>12000</v>
      </c>
      <c r="F228" s="1" t="s">
        <v>154</v>
      </c>
      <c r="G228" s="1" t="s">
        <v>155</v>
      </c>
      <c r="H228" s="48">
        <v>0</v>
      </c>
    </row>
    <row r="229" spans="1:8" x14ac:dyDescent="0.25">
      <c r="A229" s="1">
        <v>228</v>
      </c>
      <c r="B229" s="42">
        <v>46274</v>
      </c>
      <c r="C229" s="46">
        <v>0.83819444444444446</v>
      </c>
      <c r="D229" s="1" t="s">
        <v>198</v>
      </c>
      <c r="E229" s="47">
        <v>16000</v>
      </c>
      <c r="F229" s="1" t="s">
        <v>154</v>
      </c>
      <c r="G229" s="1" t="s">
        <v>155</v>
      </c>
      <c r="H229" s="48">
        <v>0</v>
      </c>
    </row>
    <row r="230" spans="1:8" x14ac:dyDescent="0.25">
      <c r="A230" s="1">
        <v>229</v>
      </c>
      <c r="B230" s="42">
        <v>46274</v>
      </c>
      <c r="C230" s="46">
        <v>0.83819444444444446</v>
      </c>
      <c r="D230" s="1" t="s">
        <v>43</v>
      </c>
      <c r="E230" s="47">
        <v>22000</v>
      </c>
      <c r="F230" s="1" t="s">
        <v>154</v>
      </c>
      <c r="G230" s="1" t="s">
        <v>155</v>
      </c>
      <c r="H230" s="48">
        <v>0</v>
      </c>
    </row>
    <row r="231" spans="1:8" x14ac:dyDescent="0.25">
      <c r="A231" s="1">
        <v>230</v>
      </c>
      <c r="B231" s="42">
        <v>46274</v>
      </c>
      <c r="C231" s="46">
        <v>0.83819444444444446</v>
      </c>
      <c r="D231" s="1" t="s">
        <v>178</v>
      </c>
      <c r="E231" s="47">
        <v>36000</v>
      </c>
      <c r="F231" s="1" t="s">
        <v>162</v>
      </c>
      <c r="G231" s="1" t="s">
        <v>155</v>
      </c>
      <c r="H231" s="48">
        <v>0</v>
      </c>
    </row>
    <row r="232" spans="1:8" x14ac:dyDescent="0.25">
      <c r="A232" s="1">
        <v>231</v>
      </c>
      <c r="B232" s="42">
        <v>46274</v>
      </c>
      <c r="C232" s="46">
        <v>0.83819444444444446</v>
      </c>
      <c r="D232" s="1" t="s">
        <v>166</v>
      </c>
      <c r="E232" s="47">
        <v>6000</v>
      </c>
      <c r="F232" s="1" t="s">
        <v>58</v>
      </c>
      <c r="G232" s="1" t="s">
        <v>155</v>
      </c>
      <c r="H232" s="48">
        <v>0</v>
      </c>
    </row>
    <row r="233" spans="1:8" x14ac:dyDescent="0.25">
      <c r="A233" s="1">
        <v>232</v>
      </c>
      <c r="B233" s="42">
        <v>46274</v>
      </c>
      <c r="C233" s="46">
        <v>0.83819444444444446</v>
      </c>
      <c r="D233" s="1" t="s">
        <v>199</v>
      </c>
      <c r="E233" s="47">
        <v>12000</v>
      </c>
      <c r="F233" s="1" t="s">
        <v>154</v>
      </c>
      <c r="G233" s="1" t="s">
        <v>155</v>
      </c>
      <c r="H233" s="48">
        <v>0</v>
      </c>
    </row>
    <row r="234" spans="1:8" x14ac:dyDescent="0.25">
      <c r="A234" s="1">
        <v>233</v>
      </c>
      <c r="B234" s="42">
        <v>46275</v>
      </c>
      <c r="C234" s="46">
        <v>0.83819444444444446</v>
      </c>
      <c r="D234" s="1" t="s">
        <v>211</v>
      </c>
      <c r="E234" s="47">
        <v>9000</v>
      </c>
      <c r="F234" s="1" t="s">
        <v>154</v>
      </c>
      <c r="G234" s="1" t="s">
        <v>155</v>
      </c>
      <c r="H234" s="48">
        <v>0</v>
      </c>
    </row>
    <row r="235" spans="1:8" x14ac:dyDescent="0.25">
      <c r="A235" s="1">
        <v>234</v>
      </c>
      <c r="B235" s="42">
        <v>46275</v>
      </c>
      <c r="C235" s="46">
        <v>0.83819444444444446</v>
      </c>
      <c r="D235" s="1" t="s">
        <v>431</v>
      </c>
      <c r="E235" s="47">
        <v>30000</v>
      </c>
      <c r="F235" s="1" t="s">
        <v>154</v>
      </c>
      <c r="G235" s="1" t="s">
        <v>155</v>
      </c>
      <c r="H235" s="48">
        <v>0</v>
      </c>
    </row>
    <row r="236" spans="1:8" x14ac:dyDescent="0.25">
      <c r="A236" s="1">
        <v>235</v>
      </c>
      <c r="B236" s="42">
        <v>46275</v>
      </c>
      <c r="C236" s="46">
        <v>0.83819444444444446</v>
      </c>
      <c r="D236" s="1" t="s">
        <v>43</v>
      </c>
      <c r="E236" s="47">
        <v>6000</v>
      </c>
      <c r="F236" s="1" t="s">
        <v>58</v>
      </c>
      <c r="G236" s="1" t="s">
        <v>155</v>
      </c>
      <c r="H236" s="48">
        <v>0</v>
      </c>
    </row>
    <row r="237" spans="1:8" x14ac:dyDescent="0.25">
      <c r="A237" s="1">
        <v>236</v>
      </c>
      <c r="B237" s="42">
        <v>46275</v>
      </c>
      <c r="C237" s="46">
        <v>0.83819444444444446</v>
      </c>
      <c r="D237" s="1" t="s">
        <v>212</v>
      </c>
      <c r="E237" s="47">
        <v>10000</v>
      </c>
      <c r="F237" s="1" t="s">
        <v>154</v>
      </c>
      <c r="G237" s="1" t="s">
        <v>155</v>
      </c>
      <c r="H237" s="48">
        <v>0</v>
      </c>
    </row>
    <row r="238" spans="1:8" x14ac:dyDescent="0.25">
      <c r="A238" s="1">
        <v>237</v>
      </c>
      <c r="B238" s="42">
        <v>46275</v>
      </c>
      <c r="C238" s="46">
        <v>0.83819444444444446</v>
      </c>
      <c r="D238" s="1" t="s">
        <v>431</v>
      </c>
      <c r="E238" s="47">
        <v>35000</v>
      </c>
      <c r="F238" s="1" t="s">
        <v>154</v>
      </c>
      <c r="G238" s="1" t="s">
        <v>155</v>
      </c>
      <c r="H238" s="48">
        <v>0</v>
      </c>
    </row>
    <row r="239" spans="1:8" x14ac:dyDescent="0.25">
      <c r="A239" s="1">
        <v>238</v>
      </c>
      <c r="B239" s="42">
        <v>46276</v>
      </c>
      <c r="C239" s="46">
        <v>0.83819444444444446</v>
      </c>
      <c r="D239" s="1" t="s">
        <v>201</v>
      </c>
      <c r="E239" s="47">
        <v>15600</v>
      </c>
      <c r="F239" s="1" t="s">
        <v>162</v>
      </c>
      <c r="G239" s="1" t="s">
        <v>155</v>
      </c>
      <c r="H239" s="48">
        <v>0</v>
      </c>
    </row>
    <row r="240" spans="1:8" x14ac:dyDescent="0.25">
      <c r="A240" s="1">
        <v>239</v>
      </c>
      <c r="B240" s="42">
        <v>46276</v>
      </c>
      <c r="C240" s="46">
        <v>0.83819444444444446</v>
      </c>
      <c r="D240" s="1" t="s">
        <v>230</v>
      </c>
      <c r="E240" s="47">
        <v>6000</v>
      </c>
      <c r="F240" s="1" t="s">
        <v>162</v>
      </c>
      <c r="G240" s="1" t="s">
        <v>155</v>
      </c>
      <c r="H240" s="48">
        <v>0</v>
      </c>
    </row>
    <row r="241" spans="1:8" x14ac:dyDescent="0.25">
      <c r="A241" s="1">
        <v>240</v>
      </c>
      <c r="B241" s="42">
        <v>46276</v>
      </c>
      <c r="C241" s="46">
        <v>0.83819444444444446</v>
      </c>
      <c r="D241" s="1" t="s">
        <v>222</v>
      </c>
      <c r="E241" s="47">
        <f>3000+6000+6000+6000</f>
        <v>21000</v>
      </c>
      <c r="F241" s="1" t="s">
        <v>154</v>
      </c>
      <c r="G241" s="1" t="s">
        <v>155</v>
      </c>
      <c r="H241" s="48">
        <v>0</v>
      </c>
    </row>
    <row r="242" spans="1:8" x14ac:dyDescent="0.25">
      <c r="A242" s="1">
        <v>241</v>
      </c>
      <c r="B242" s="42">
        <v>46276</v>
      </c>
      <c r="C242" s="46">
        <v>0.83819444444444446</v>
      </c>
      <c r="D242" s="1" t="s">
        <v>166</v>
      </c>
      <c r="E242" s="47">
        <f>6000+6000+10000+10000+3000+4000</f>
        <v>39000</v>
      </c>
      <c r="F242" s="1" t="s">
        <v>58</v>
      </c>
      <c r="G242" s="1" t="s">
        <v>155</v>
      </c>
      <c r="H242" s="48">
        <v>0</v>
      </c>
    </row>
    <row r="243" spans="1:8" x14ac:dyDescent="0.25">
      <c r="A243" s="1">
        <v>242</v>
      </c>
      <c r="B243" s="42">
        <v>46276</v>
      </c>
      <c r="C243" s="46">
        <v>0.83819444444444446</v>
      </c>
      <c r="D243" s="1" t="s">
        <v>432</v>
      </c>
      <c r="E243" s="47">
        <f>10000+6000+7000</f>
        <v>23000</v>
      </c>
      <c r="F243" s="1" t="s">
        <v>154</v>
      </c>
      <c r="G243" s="1" t="s">
        <v>155</v>
      </c>
      <c r="H243" s="48">
        <v>0</v>
      </c>
    </row>
    <row r="244" spans="1:8" x14ac:dyDescent="0.25">
      <c r="A244" s="1">
        <v>243</v>
      </c>
      <c r="B244" s="42">
        <v>46276</v>
      </c>
      <c r="C244" s="46">
        <v>0.83819444444444446</v>
      </c>
      <c r="D244" s="1" t="s">
        <v>233</v>
      </c>
      <c r="E244" s="47">
        <v>9000</v>
      </c>
      <c r="F244" s="1" t="s">
        <v>154</v>
      </c>
      <c r="G244" s="1" t="s">
        <v>155</v>
      </c>
      <c r="H244" s="48">
        <v>0</v>
      </c>
    </row>
    <row r="245" spans="1:8" x14ac:dyDescent="0.25">
      <c r="A245" s="1">
        <v>244</v>
      </c>
      <c r="B245" s="42">
        <v>46276</v>
      </c>
      <c r="C245" s="46">
        <v>0.83819444444444446</v>
      </c>
      <c r="D245" s="1" t="s">
        <v>211</v>
      </c>
      <c r="E245" s="47">
        <v>6000</v>
      </c>
      <c r="F245" s="1" t="s">
        <v>154</v>
      </c>
      <c r="G245" s="1" t="s">
        <v>155</v>
      </c>
      <c r="H245" s="48">
        <v>0</v>
      </c>
    </row>
    <row r="246" spans="1:8" x14ac:dyDescent="0.25">
      <c r="A246" s="1">
        <v>245</v>
      </c>
      <c r="B246" s="42">
        <v>46276</v>
      </c>
      <c r="C246" s="46">
        <v>0.83819444444444446</v>
      </c>
      <c r="D246" s="1" t="s">
        <v>43</v>
      </c>
      <c r="E246" s="47">
        <v>10000</v>
      </c>
      <c r="F246" s="1" t="s">
        <v>154</v>
      </c>
      <c r="G246" s="1" t="s">
        <v>155</v>
      </c>
      <c r="H246" s="48">
        <v>0</v>
      </c>
    </row>
    <row r="247" spans="1:8" x14ac:dyDescent="0.25">
      <c r="A247" s="1">
        <v>246</v>
      </c>
      <c r="B247" s="42">
        <v>46276</v>
      </c>
      <c r="C247" s="46">
        <v>0.83819444444444446</v>
      </c>
      <c r="D247" s="1" t="s">
        <v>44</v>
      </c>
      <c r="E247" s="47">
        <f>7000+12000</f>
        <v>19000</v>
      </c>
      <c r="F247" s="1" t="s">
        <v>154</v>
      </c>
      <c r="G247" s="1" t="s">
        <v>155</v>
      </c>
      <c r="H247" s="48">
        <v>0</v>
      </c>
    </row>
    <row r="248" spans="1:8" x14ac:dyDescent="0.25">
      <c r="A248" s="1">
        <v>247</v>
      </c>
      <c r="B248" s="42">
        <v>46276</v>
      </c>
      <c r="C248" s="46">
        <v>0.83819444444444446</v>
      </c>
      <c r="D248" s="1" t="s">
        <v>433</v>
      </c>
      <c r="E248" s="47">
        <f>14000+10000+14000+7000</f>
        <v>45000</v>
      </c>
      <c r="F248" s="1" t="s">
        <v>58</v>
      </c>
      <c r="G248" s="1" t="s">
        <v>155</v>
      </c>
      <c r="H248" s="48">
        <v>0</v>
      </c>
    </row>
    <row r="249" spans="1:8" x14ac:dyDescent="0.25">
      <c r="A249" s="1">
        <v>248</v>
      </c>
      <c r="B249" s="42">
        <v>46277</v>
      </c>
      <c r="C249" s="46">
        <v>0.83819444444444446</v>
      </c>
      <c r="D249" s="1" t="s">
        <v>434</v>
      </c>
      <c r="E249" s="47">
        <f>18000+6000+20000+20000</f>
        <v>64000</v>
      </c>
      <c r="F249" s="1" t="s">
        <v>154</v>
      </c>
      <c r="G249" s="1" t="s">
        <v>155</v>
      </c>
      <c r="H249" s="48">
        <v>0</v>
      </c>
    </row>
    <row r="250" spans="1:8" x14ac:dyDescent="0.25">
      <c r="A250" s="1">
        <v>249</v>
      </c>
      <c r="B250" s="42">
        <v>46277</v>
      </c>
      <c r="C250" s="46">
        <v>0.83819444444444446</v>
      </c>
      <c r="D250" s="1" t="s">
        <v>188</v>
      </c>
      <c r="E250" s="47">
        <f>12000+7000+7000+12000</f>
        <v>38000</v>
      </c>
      <c r="F250" s="1" t="s">
        <v>58</v>
      </c>
      <c r="G250" s="1" t="s">
        <v>155</v>
      </c>
      <c r="H250" s="48">
        <v>0</v>
      </c>
    </row>
    <row r="251" spans="1:8" x14ac:dyDescent="0.25">
      <c r="A251" s="1">
        <v>250</v>
      </c>
      <c r="B251" s="42">
        <v>46277</v>
      </c>
      <c r="C251" s="46">
        <v>0.83819444444444446</v>
      </c>
      <c r="D251" s="1" t="s">
        <v>185</v>
      </c>
      <c r="E251" s="47">
        <f>3000+14000</f>
        <v>17000</v>
      </c>
      <c r="F251" s="1" t="s">
        <v>58</v>
      </c>
      <c r="G251" s="1" t="s">
        <v>155</v>
      </c>
      <c r="H251" s="48">
        <v>0</v>
      </c>
    </row>
    <row r="252" spans="1:8" x14ac:dyDescent="0.25">
      <c r="A252" s="1">
        <v>251</v>
      </c>
      <c r="B252" s="42">
        <v>46277</v>
      </c>
      <c r="C252" s="46">
        <v>0.83819444444444446</v>
      </c>
      <c r="D252" s="1" t="s">
        <v>440</v>
      </c>
      <c r="E252" s="47">
        <f>6000+10000+6000</f>
        <v>22000</v>
      </c>
      <c r="F252" s="1" t="s">
        <v>58</v>
      </c>
      <c r="G252" s="1" t="s">
        <v>155</v>
      </c>
      <c r="H252" s="48">
        <v>0</v>
      </c>
    </row>
    <row r="253" spans="1:8" x14ac:dyDescent="0.25">
      <c r="A253" s="1">
        <v>252</v>
      </c>
      <c r="B253" s="42">
        <v>46277</v>
      </c>
      <c r="C253" s="46">
        <v>0.83819444444444446</v>
      </c>
      <c r="D253" s="1" t="s">
        <v>441</v>
      </c>
      <c r="E253" s="47">
        <f>6000+10000</f>
        <v>16000</v>
      </c>
      <c r="F253" s="1" t="s">
        <v>154</v>
      </c>
      <c r="G253" s="1" t="s">
        <v>155</v>
      </c>
      <c r="H253" s="48">
        <v>0</v>
      </c>
    </row>
    <row r="254" spans="1:8" x14ac:dyDescent="0.25">
      <c r="A254" s="1">
        <v>253</v>
      </c>
      <c r="B254" s="42">
        <v>46277</v>
      </c>
      <c r="C254" s="46">
        <v>0.83819444444444446</v>
      </c>
      <c r="D254" s="1" t="s">
        <v>219</v>
      </c>
      <c r="E254" s="47">
        <f>6000*4+6000</f>
        <v>30000</v>
      </c>
      <c r="F254" s="1" t="s">
        <v>154</v>
      </c>
      <c r="G254" s="1" t="s">
        <v>155</v>
      </c>
      <c r="H254" s="48">
        <v>0</v>
      </c>
    </row>
    <row r="255" spans="1:8" x14ac:dyDescent="0.25">
      <c r="A255" s="1">
        <v>254</v>
      </c>
      <c r="B255" s="42">
        <v>46277</v>
      </c>
      <c r="C255" s="46">
        <v>0.83819444444444446</v>
      </c>
      <c r="D255" s="1" t="s">
        <v>904</v>
      </c>
      <c r="E255" s="47">
        <f>12000+12000+6000+12000</f>
        <v>42000</v>
      </c>
      <c r="F255" s="1" t="s">
        <v>58</v>
      </c>
      <c r="G255" s="1" t="s">
        <v>155</v>
      </c>
      <c r="H255" s="48">
        <v>0</v>
      </c>
    </row>
    <row r="256" spans="1:8" x14ac:dyDescent="0.25">
      <c r="A256" s="1">
        <v>255</v>
      </c>
      <c r="B256" s="42">
        <v>46277</v>
      </c>
      <c r="C256" s="46">
        <v>0.83819444444444446</v>
      </c>
      <c r="D256" s="1" t="s">
        <v>442</v>
      </c>
      <c r="E256" s="47">
        <f>10000+12000+6000+10000</f>
        <v>38000</v>
      </c>
      <c r="F256" s="1" t="s">
        <v>154</v>
      </c>
      <c r="G256" s="1" t="s">
        <v>155</v>
      </c>
      <c r="H256" s="48">
        <v>0</v>
      </c>
    </row>
    <row r="257" spans="1:8" x14ac:dyDescent="0.25">
      <c r="A257" s="1">
        <v>256</v>
      </c>
      <c r="B257" s="42">
        <v>46277</v>
      </c>
      <c r="C257" s="46">
        <v>0.83819444444444446</v>
      </c>
      <c r="D257" s="1" t="s">
        <v>212</v>
      </c>
      <c r="E257" s="47">
        <f>7000+6000+3000+6000</f>
        <v>22000</v>
      </c>
      <c r="F257" s="1" t="s">
        <v>58</v>
      </c>
      <c r="G257" s="1" t="s">
        <v>155</v>
      </c>
      <c r="H257" s="48">
        <v>0</v>
      </c>
    </row>
    <row r="258" spans="1:8" x14ac:dyDescent="0.25">
      <c r="A258" s="1">
        <v>257</v>
      </c>
      <c r="B258" s="42">
        <v>46277</v>
      </c>
      <c r="C258" s="46">
        <v>0.83819444444444446</v>
      </c>
      <c r="D258" s="1" t="s">
        <v>250</v>
      </c>
      <c r="E258" s="47">
        <f>7000*2+3000*2+6000</f>
        <v>26000</v>
      </c>
      <c r="F258" s="1" t="s">
        <v>58</v>
      </c>
      <c r="G258" s="1" t="s">
        <v>155</v>
      </c>
      <c r="H258" s="48">
        <v>0</v>
      </c>
    </row>
    <row r="259" spans="1:8" x14ac:dyDescent="0.25">
      <c r="A259" s="1">
        <v>258</v>
      </c>
      <c r="B259" s="42">
        <v>46277</v>
      </c>
      <c r="C259" s="46">
        <v>0.83819444444444446</v>
      </c>
      <c r="D259" s="1" t="s">
        <v>443</v>
      </c>
      <c r="E259" s="47">
        <v>40000</v>
      </c>
      <c r="F259" s="1" t="s">
        <v>58</v>
      </c>
      <c r="G259" s="1" t="s">
        <v>155</v>
      </c>
      <c r="H259" s="48">
        <v>0</v>
      </c>
    </row>
    <row r="260" spans="1:8" x14ac:dyDescent="0.25">
      <c r="A260" s="1">
        <v>259</v>
      </c>
      <c r="B260" s="42">
        <v>46277</v>
      </c>
      <c r="C260" s="46">
        <v>0.83819444444444446</v>
      </c>
      <c r="D260" s="1" t="s">
        <v>444</v>
      </c>
      <c r="E260" s="47">
        <f>7000+6000+6000+6000</f>
        <v>25000</v>
      </c>
      <c r="F260" s="1" t="s">
        <v>58</v>
      </c>
      <c r="G260" s="1" t="s">
        <v>155</v>
      </c>
      <c r="H260" s="48">
        <v>0</v>
      </c>
    </row>
    <row r="261" spans="1:8" x14ac:dyDescent="0.25">
      <c r="A261" s="1">
        <v>260</v>
      </c>
      <c r="B261" s="42">
        <v>46277</v>
      </c>
      <c r="C261" s="46">
        <v>0.83819444444444446</v>
      </c>
      <c r="D261" s="1" t="s">
        <v>445</v>
      </c>
      <c r="E261" s="47">
        <f>6000*2+7000*2+6000</f>
        <v>32000</v>
      </c>
      <c r="F261" s="1" t="s">
        <v>58</v>
      </c>
      <c r="G261" s="1" t="s">
        <v>155</v>
      </c>
      <c r="H261" s="48">
        <v>0</v>
      </c>
    </row>
    <row r="262" spans="1:8" x14ac:dyDescent="0.25">
      <c r="A262" s="1">
        <v>261</v>
      </c>
      <c r="B262" s="42">
        <v>46277</v>
      </c>
      <c r="C262" s="46">
        <v>0.83819444444444446</v>
      </c>
      <c r="D262" s="1" t="s">
        <v>446</v>
      </c>
      <c r="E262" s="47">
        <f>10000+6000+6000+6000</f>
        <v>28000</v>
      </c>
      <c r="F262" s="1" t="s">
        <v>154</v>
      </c>
      <c r="G262" s="1" t="s">
        <v>155</v>
      </c>
      <c r="H262" s="48">
        <v>0</v>
      </c>
    </row>
    <row r="263" spans="1:8" x14ac:dyDescent="0.25">
      <c r="A263" s="1">
        <v>262</v>
      </c>
      <c r="B263" s="42">
        <v>46277</v>
      </c>
      <c r="C263" s="46">
        <v>0.83819444444444446</v>
      </c>
      <c r="D263" s="1" t="s">
        <v>447</v>
      </c>
      <c r="E263" s="47">
        <f>7000*2+3000+6000</f>
        <v>23000</v>
      </c>
      <c r="F263" s="1" t="s">
        <v>58</v>
      </c>
      <c r="G263" s="1" t="s">
        <v>155</v>
      </c>
      <c r="H263" s="48">
        <v>0</v>
      </c>
    </row>
    <row r="264" spans="1:8" x14ac:dyDescent="0.25">
      <c r="A264" s="1">
        <v>263</v>
      </c>
      <c r="B264" s="42">
        <v>46277</v>
      </c>
      <c r="C264" s="46">
        <v>0.83819444444444446</v>
      </c>
      <c r="D264" s="1" t="s">
        <v>448</v>
      </c>
      <c r="E264" s="47">
        <f>10000*2+7000*3+6000</f>
        <v>47000</v>
      </c>
      <c r="F264" s="1" t="s">
        <v>154</v>
      </c>
      <c r="G264" s="1" t="s">
        <v>155</v>
      </c>
      <c r="H264" s="48">
        <v>0</v>
      </c>
    </row>
    <row r="265" spans="1:8" x14ac:dyDescent="0.25">
      <c r="A265" s="1">
        <v>264</v>
      </c>
      <c r="B265" s="42">
        <v>46277</v>
      </c>
      <c r="C265" s="46">
        <v>0.83819444444444446</v>
      </c>
      <c r="D265" s="1" t="s">
        <v>449</v>
      </c>
      <c r="E265" s="47">
        <f>6000+6000+6000</f>
        <v>18000</v>
      </c>
      <c r="F265" s="1" t="s">
        <v>58</v>
      </c>
      <c r="G265" s="1" t="s">
        <v>155</v>
      </c>
      <c r="H265" s="48">
        <v>0</v>
      </c>
    </row>
    <row r="266" spans="1:8" x14ac:dyDescent="0.25">
      <c r="A266" s="1">
        <v>265</v>
      </c>
      <c r="B266" s="42">
        <v>46277</v>
      </c>
      <c r="C266" s="46">
        <v>0.83819444444444446</v>
      </c>
      <c r="D266" s="1" t="s">
        <v>200</v>
      </c>
      <c r="E266" s="47">
        <f>6000*4+1200+2400</f>
        <v>27600</v>
      </c>
      <c r="F266" s="1" t="s">
        <v>162</v>
      </c>
      <c r="G266" s="1" t="s">
        <v>163</v>
      </c>
      <c r="H266" s="48">
        <v>27600</v>
      </c>
    </row>
    <row r="267" spans="1:8" x14ac:dyDescent="0.25">
      <c r="A267" s="1">
        <v>266</v>
      </c>
      <c r="B267" s="42">
        <v>46277</v>
      </c>
      <c r="C267" s="46">
        <v>0.83819444444444446</v>
      </c>
      <c r="D267" s="1" t="s">
        <v>450</v>
      </c>
      <c r="E267" s="47">
        <f>6000+7000</f>
        <v>13000</v>
      </c>
      <c r="F267" s="1" t="s">
        <v>162</v>
      </c>
      <c r="G267" s="1" t="s">
        <v>163</v>
      </c>
      <c r="H267" s="48">
        <v>13000</v>
      </c>
    </row>
    <row r="268" spans="1:8" x14ac:dyDescent="0.25">
      <c r="A268" s="1">
        <v>267</v>
      </c>
      <c r="B268" s="42">
        <v>46277</v>
      </c>
      <c r="C268" s="46">
        <v>0.83819444444444446</v>
      </c>
      <c r="D268" s="1" t="s">
        <v>194</v>
      </c>
      <c r="E268" s="47">
        <f>6000+10000+6000+6000</f>
        <v>28000</v>
      </c>
      <c r="F268" s="1" t="s">
        <v>58</v>
      </c>
      <c r="G268" s="1" t="s">
        <v>155</v>
      </c>
      <c r="H268" s="48">
        <v>0</v>
      </c>
    </row>
    <row r="269" spans="1:8" x14ac:dyDescent="0.25">
      <c r="A269" s="1">
        <v>268</v>
      </c>
      <c r="B269" s="42">
        <v>46277</v>
      </c>
      <c r="C269" s="46">
        <v>0.83819444444444446</v>
      </c>
      <c r="D269" s="1" t="s">
        <v>451</v>
      </c>
      <c r="E269" s="47">
        <f>10000+6000+2*6000</f>
        <v>28000</v>
      </c>
      <c r="F269" s="1" t="s">
        <v>162</v>
      </c>
      <c r="G269" s="1" t="s">
        <v>163</v>
      </c>
      <c r="H269" s="48">
        <v>28000</v>
      </c>
    </row>
    <row r="270" spans="1:8" x14ac:dyDescent="0.25">
      <c r="A270" s="1">
        <v>269</v>
      </c>
      <c r="B270" s="42">
        <v>46277</v>
      </c>
      <c r="C270" s="46">
        <v>0.83819444444444446</v>
      </c>
      <c r="D270" s="1" t="s">
        <v>200</v>
      </c>
      <c r="E270" s="47">
        <v>7000</v>
      </c>
      <c r="F270" s="1" t="s">
        <v>162</v>
      </c>
      <c r="G270" s="1" t="s">
        <v>163</v>
      </c>
      <c r="H270" s="48">
        <v>7000</v>
      </c>
    </row>
    <row r="271" spans="1:8" x14ac:dyDescent="0.25">
      <c r="A271" s="1">
        <v>270</v>
      </c>
      <c r="B271" s="42">
        <v>46277</v>
      </c>
      <c r="C271" s="46">
        <v>0.83819444444444446</v>
      </c>
      <c r="D271" s="1" t="s">
        <v>195</v>
      </c>
      <c r="E271" s="47">
        <f>2*3000+2*10000+10000+2*6000+6000</f>
        <v>54000</v>
      </c>
      <c r="F271" s="1" t="s">
        <v>58</v>
      </c>
      <c r="G271" s="1" t="s">
        <v>155</v>
      </c>
      <c r="H271" s="48">
        <v>0</v>
      </c>
    </row>
    <row r="272" spans="1:8" x14ac:dyDescent="0.25">
      <c r="A272" s="1">
        <v>271</v>
      </c>
      <c r="B272" s="42">
        <v>46277</v>
      </c>
      <c r="C272" s="46">
        <v>0.83819444444444446</v>
      </c>
      <c r="D272" s="1" t="s">
        <v>452</v>
      </c>
      <c r="E272" s="47">
        <f>6000+7000+3*6000</f>
        <v>31000</v>
      </c>
      <c r="F272" s="1" t="s">
        <v>58</v>
      </c>
      <c r="G272" s="1" t="s">
        <v>155</v>
      </c>
      <c r="H272" s="48">
        <v>0</v>
      </c>
    </row>
    <row r="273" spans="1:8" x14ac:dyDescent="0.25">
      <c r="A273" s="1">
        <v>272</v>
      </c>
      <c r="B273" s="42">
        <v>46277</v>
      </c>
      <c r="C273" s="46">
        <v>0.83819444444444446</v>
      </c>
      <c r="D273" s="1" t="s">
        <v>166</v>
      </c>
      <c r="E273" s="47">
        <f>6000+6000+20000+4000+6000+7000+1200*2+1400+7000+6000</f>
        <v>65800</v>
      </c>
      <c r="F273" s="1" t="s">
        <v>58</v>
      </c>
      <c r="G273" s="1" t="s">
        <v>155</v>
      </c>
      <c r="H273" s="48">
        <v>0</v>
      </c>
    </row>
    <row r="274" spans="1:8" x14ac:dyDescent="0.25">
      <c r="A274" s="1">
        <v>273</v>
      </c>
      <c r="B274" s="42">
        <v>46277</v>
      </c>
      <c r="C274" s="46">
        <v>0.83819444444444446</v>
      </c>
      <c r="D274" s="1" t="s">
        <v>453</v>
      </c>
      <c r="E274" s="47">
        <v>50000</v>
      </c>
      <c r="F274" s="1" t="s">
        <v>58</v>
      </c>
      <c r="G274" s="1" t="s">
        <v>155</v>
      </c>
      <c r="H274" s="48">
        <v>0</v>
      </c>
    </row>
    <row r="275" spans="1:8" x14ac:dyDescent="0.25">
      <c r="A275" s="1">
        <v>274</v>
      </c>
      <c r="B275" s="42">
        <v>46280</v>
      </c>
      <c r="C275" s="46">
        <v>0.93243055555555554</v>
      </c>
      <c r="D275" s="1" t="s">
        <v>200</v>
      </c>
      <c r="E275" s="47">
        <v>13000</v>
      </c>
      <c r="F275" s="1" t="s">
        <v>162</v>
      </c>
      <c r="G275" s="1" t="s">
        <v>163</v>
      </c>
      <c r="H275" s="48">
        <v>13000</v>
      </c>
    </row>
    <row r="276" spans="1:8" x14ac:dyDescent="0.25">
      <c r="A276" s="1">
        <v>275</v>
      </c>
      <c r="B276" s="42">
        <v>46281</v>
      </c>
      <c r="C276" s="46">
        <v>0.72307870370370375</v>
      </c>
      <c r="D276" s="1" t="s">
        <v>200</v>
      </c>
      <c r="E276" s="47">
        <v>21200</v>
      </c>
      <c r="F276" s="1" t="s">
        <v>162</v>
      </c>
      <c r="G276" s="1" t="s">
        <v>163</v>
      </c>
      <c r="H276" s="48">
        <v>21200</v>
      </c>
    </row>
    <row r="277" spans="1:8" x14ac:dyDescent="0.25">
      <c r="A277" s="1">
        <v>276</v>
      </c>
      <c r="B277" s="42">
        <v>46281</v>
      </c>
      <c r="C277" s="46">
        <v>0.72377314814814819</v>
      </c>
      <c r="D277" s="1" t="s">
        <v>201</v>
      </c>
      <c r="E277" s="47">
        <v>24000</v>
      </c>
      <c r="F277" s="1" t="s">
        <v>58</v>
      </c>
      <c r="G277" s="1" t="s">
        <v>155</v>
      </c>
      <c r="H277" s="48">
        <v>0</v>
      </c>
    </row>
    <row r="278" spans="1:8" x14ac:dyDescent="0.25">
      <c r="A278" s="1">
        <v>277</v>
      </c>
      <c r="B278" s="42">
        <v>46281</v>
      </c>
      <c r="C278" s="46">
        <v>0.76980324074074069</v>
      </c>
      <c r="D278" s="1" t="s">
        <v>209</v>
      </c>
      <c r="E278" s="47">
        <v>18000</v>
      </c>
      <c r="F278" s="1" t="s">
        <v>162</v>
      </c>
      <c r="G278" s="1" t="s">
        <v>163</v>
      </c>
      <c r="H278" s="48">
        <v>3000</v>
      </c>
    </row>
    <row r="279" spans="1:8" x14ac:dyDescent="0.25">
      <c r="A279" s="1">
        <v>278</v>
      </c>
      <c r="B279" s="42">
        <v>46281</v>
      </c>
      <c r="C279" s="46">
        <v>0.77773148148148152</v>
      </c>
      <c r="D279" s="1" t="s">
        <v>463</v>
      </c>
      <c r="E279" s="47">
        <v>9000</v>
      </c>
      <c r="F279" s="1" t="s">
        <v>154</v>
      </c>
      <c r="G279" s="1" t="s">
        <v>155</v>
      </c>
      <c r="H279" s="48">
        <v>0</v>
      </c>
    </row>
    <row r="280" spans="1:8" x14ac:dyDescent="0.25">
      <c r="A280" s="1">
        <v>279</v>
      </c>
      <c r="B280" s="42">
        <v>46281</v>
      </c>
      <c r="C280" s="46">
        <v>0.89311342592592591</v>
      </c>
      <c r="D280" s="1" t="s">
        <v>168</v>
      </c>
      <c r="E280" s="47">
        <v>13000</v>
      </c>
      <c r="F280" s="1" t="s">
        <v>154</v>
      </c>
      <c r="G280" s="1" t="s">
        <v>155</v>
      </c>
      <c r="H280" s="48">
        <v>0</v>
      </c>
    </row>
    <row r="281" spans="1:8" x14ac:dyDescent="0.25">
      <c r="A281" s="1">
        <v>280</v>
      </c>
      <c r="B281" s="42">
        <v>46281</v>
      </c>
      <c r="C281" s="46">
        <v>0.91880787037037037</v>
      </c>
      <c r="D281" s="1" t="s">
        <v>464</v>
      </c>
      <c r="E281" s="47">
        <v>6000</v>
      </c>
      <c r="F281" s="1" t="s">
        <v>58</v>
      </c>
      <c r="G281" s="1" t="s">
        <v>155</v>
      </c>
      <c r="H281" s="48">
        <v>0</v>
      </c>
    </row>
    <row r="282" spans="1:8" x14ac:dyDescent="0.25">
      <c r="A282" s="1">
        <v>281</v>
      </c>
      <c r="B282" s="42">
        <v>46281</v>
      </c>
      <c r="C282" s="46">
        <v>0.91928240740740741</v>
      </c>
      <c r="D282" s="1" t="s">
        <v>134</v>
      </c>
      <c r="E282" s="47">
        <v>6000</v>
      </c>
      <c r="F282" s="1" t="s">
        <v>58</v>
      </c>
      <c r="G282" s="1" t="s">
        <v>155</v>
      </c>
      <c r="H282" s="48">
        <v>0</v>
      </c>
    </row>
    <row r="283" spans="1:8" x14ac:dyDescent="0.25">
      <c r="A283" s="1">
        <v>282</v>
      </c>
      <c r="B283" s="42">
        <v>46281</v>
      </c>
      <c r="C283" s="46">
        <v>0.92553240740740739</v>
      </c>
      <c r="D283" s="1" t="s">
        <v>134</v>
      </c>
      <c r="E283" s="47">
        <v>16000</v>
      </c>
      <c r="F283" s="1" t="s">
        <v>58</v>
      </c>
      <c r="G283" s="1" t="s">
        <v>155</v>
      </c>
      <c r="H283" s="48">
        <v>0</v>
      </c>
    </row>
    <row r="284" spans="1:8" x14ac:dyDescent="0.25">
      <c r="A284" s="1">
        <v>283</v>
      </c>
      <c r="B284" s="42">
        <v>46281</v>
      </c>
      <c r="C284" s="46">
        <v>0.93174768518518514</v>
      </c>
      <c r="D284" s="1" t="s">
        <v>134</v>
      </c>
      <c r="E284" s="47">
        <v>12000</v>
      </c>
      <c r="F284" s="1" t="s">
        <v>154</v>
      </c>
      <c r="G284" s="1" t="s">
        <v>155</v>
      </c>
      <c r="H284" s="48">
        <v>0</v>
      </c>
    </row>
    <row r="285" spans="1:8" x14ac:dyDescent="0.25">
      <c r="A285" s="1">
        <v>284</v>
      </c>
      <c r="B285" s="42">
        <v>46281</v>
      </c>
      <c r="C285" s="46">
        <v>0.93415509259259255</v>
      </c>
      <c r="D285" s="1" t="s">
        <v>134</v>
      </c>
      <c r="E285" s="47">
        <v>30000</v>
      </c>
      <c r="F285" s="1" t="s">
        <v>58</v>
      </c>
      <c r="G285" s="1" t="s">
        <v>155</v>
      </c>
      <c r="H285" s="48">
        <v>0</v>
      </c>
    </row>
    <row r="286" spans="1:8" x14ac:dyDescent="0.25">
      <c r="A286" s="1">
        <v>285</v>
      </c>
      <c r="B286" s="42">
        <v>46281</v>
      </c>
      <c r="C286" s="46">
        <v>0.93456018518518513</v>
      </c>
      <c r="D286" s="1" t="s">
        <v>43</v>
      </c>
      <c r="E286" s="47">
        <v>6000</v>
      </c>
      <c r="F286" s="1" t="s">
        <v>58</v>
      </c>
      <c r="G286" s="1" t="s">
        <v>155</v>
      </c>
      <c r="H286" s="48">
        <v>0</v>
      </c>
    </row>
    <row r="287" spans="1:8" x14ac:dyDescent="0.25">
      <c r="A287" s="1">
        <v>286</v>
      </c>
      <c r="B287" s="42">
        <v>46281</v>
      </c>
      <c r="C287" s="46">
        <v>0.93503472222222217</v>
      </c>
      <c r="D287" s="1" t="s">
        <v>134</v>
      </c>
      <c r="E287" s="47">
        <v>6000</v>
      </c>
      <c r="F287" s="1" t="s">
        <v>58</v>
      </c>
      <c r="G287" s="1" t="s">
        <v>155</v>
      </c>
      <c r="H287" s="48">
        <v>0</v>
      </c>
    </row>
    <row r="288" spans="1:8" x14ac:dyDescent="0.25">
      <c r="A288" s="1">
        <v>287</v>
      </c>
      <c r="B288" s="42">
        <v>46281</v>
      </c>
      <c r="C288" s="46">
        <v>0.96666666666666667</v>
      </c>
      <c r="D288" s="1" t="s">
        <v>134</v>
      </c>
      <c r="E288" s="47">
        <v>10200</v>
      </c>
      <c r="F288" s="1" t="s">
        <v>58</v>
      </c>
      <c r="G288" s="1" t="s">
        <v>155</v>
      </c>
      <c r="H288" s="48">
        <v>0</v>
      </c>
    </row>
    <row r="289" spans="1:8" x14ac:dyDescent="0.25">
      <c r="A289" s="1">
        <v>288</v>
      </c>
      <c r="B289" s="42">
        <v>46281</v>
      </c>
      <c r="C289" s="46">
        <v>0.96703703703703703</v>
      </c>
      <c r="D289" s="1" t="s">
        <v>134</v>
      </c>
      <c r="E289" s="47">
        <v>2800</v>
      </c>
      <c r="F289" s="1" t="s">
        <v>154</v>
      </c>
      <c r="G289" s="1" t="s">
        <v>155</v>
      </c>
      <c r="H289" s="48">
        <v>0</v>
      </c>
    </row>
    <row r="290" spans="1:8" x14ac:dyDescent="0.25">
      <c r="A290" s="1">
        <v>289</v>
      </c>
      <c r="B290" s="42">
        <v>46281</v>
      </c>
      <c r="C290" s="46">
        <v>0.97961805555555559</v>
      </c>
      <c r="D290" s="1" t="s">
        <v>134</v>
      </c>
      <c r="E290" s="47">
        <v>9000</v>
      </c>
      <c r="F290" s="1" t="s">
        <v>154</v>
      </c>
      <c r="G290" s="1" t="s">
        <v>155</v>
      </c>
      <c r="H290" s="48">
        <v>0</v>
      </c>
    </row>
    <row r="291" spans="1:8" x14ac:dyDescent="0.25">
      <c r="A291" s="1">
        <v>290</v>
      </c>
      <c r="B291" s="42">
        <v>46281</v>
      </c>
      <c r="C291" s="46">
        <v>0.98281249999999998</v>
      </c>
      <c r="D291" s="1" t="s">
        <v>134</v>
      </c>
      <c r="E291" s="47">
        <v>11400</v>
      </c>
      <c r="F291" s="1" t="s">
        <v>58</v>
      </c>
      <c r="G291" s="1" t="s">
        <v>155</v>
      </c>
      <c r="H291" s="48">
        <v>0</v>
      </c>
    </row>
    <row r="292" spans="1:8" x14ac:dyDescent="0.25">
      <c r="A292" s="1">
        <v>291</v>
      </c>
      <c r="B292" s="42">
        <v>46281</v>
      </c>
      <c r="C292" s="46">
        <v>0.98346064814814815</v>
      </c>
      <c r="D292" s="1" t="s">
        <v>134</v>
      </c>
      <c r="E292" s="47">
        <v>1200</v>
      </c>
      <c r="F292" s="1" t="s">
        <v>58</v>
      </c>
      <c r="G292" s="1" t="s">
        <v>155</v>
      </c>
      <c r="H292" s="48">
        <v>0</v>
      </c>
    </row>
    <row r="293" spans="1:8" x14ac:dyDescent="0.25">
      <c r="A293" s="1">
        <v>292</v>
      </c>
      <c r="B293" s="42">
        <v>46281</v>
      </c>
      <c r="C293" s="46">
        <v>0.99496527777777777</v>
      </c>
      <c r="D293" s="1" t="s">
        <v>134</v>
      </c>
      <c r="E293" s="47">
        <v>6000</v>
      </c>
      <c r="F293" s="1" t="s">
        <v>154</v>
      </c>
      <c r="G293" s="1" t="s">
        <v>155</v>
      </c>
      <c r="H293" s="48">
        <v>0</v>
      </c>
    </row>
    <row r="294" spans="1:8" x14ac:dyDescent="0.25">
      <c r="A294" s="1">
        <v>293</v>
      </c>
      <c r="B294" s="42">
        <v>46281</v>
      </c>
      <c r="C294" s="46">
        <v>0.99878472222222225</v>
      </c>
      <c r="D294" s="1" t="s">
        <v>134</v>
      </c>
      <c r="E294" s="47">
        <v>18000</v>
      </c>
      <c r="F294" s="1" t="s">
        <v>58</v>
      </c>
      <c r="G294" s="1" t="s">
        <v>155</v>
      </c>
      <c r="H294" s="48">
        <v>0</v>
      </c>
    </row>
    <row r="295" spans="1:8" x14ac:dyDescent="0.25">
      <c r="A295" s="1">
        <v>294</v>
      </c>
      <c r="B295" s="42">
        <v>46281</v>
      </c>
      <c r="C295" s="46">
        <v>0.99496527777777777</v>
      </c>
      <c r="D295" s="1" t="s">
        <v>134</v>
      </c>
      <c r="E295" s="47">
        <v>6000</v>
      </c>
      <c r="F295" s="1" t="s">
        <v>58</v>
      </c>
      <c r="G295" s="1" t="s">
        <v>155</v>
      </c>
      <c r="H295" s="48">
        <v>0</v>
      </c>
    </row>
    <row r="296" spans="1:8" x14ac:dyDescent="0.25">
      <c r="A296" s="1">
        <v>295</v>
      </c>
      <c r="B296" s="42">
        <v>46281</v>
      </c>
      <c r="C296" s="46">
        <v>0.99496527777777777</v>
      </c>
      <c r="D296" s="1" t="s">
        <v>134</v>
      </c>
      <c r="E296" s="47">
        <v>4200</v>
      </c>
      <c r="F296" s="1" t="s">
        <v>58</v>
      </c>
      <c r="G296" s="1" t="s">
        <v>155</v>
      </c>
      <c r="H296" s="48">
        <v>0</v>
      </c>
    </row>
    <row r="297" spans="1:8" x14ac:dyDescent="0.25">
      <c r="A297" s="1">
        <v>296</v>
      </c>
      <c r="B297" s="42">
        <v>46282</v>
      </c>
      <c r="C297" s="46">
        <v>0.62069444444444444</v>
      </c>
      <c r="D297" s="1" t="s">
        <v>208</v>
      </c>
      <c r="E297" s="47">
        <v>23000</v>
      </c>
      <c r="F297" s="1" t="s">
        <v>154</v>
      </c>
      <c r="G297" s="1" t="s">
        <v>155</v>
      </c>
      <c r="H297" s="48">
        <v>0</v>
      </c>
    </row>
    <row r="298" spans="1:8" x14ac:dyDescent="0.25">
      <c r="A298" s="1">
        <v>297</v>
      </c>
      <c r="B298" s="42">
        <v>46282</v>
      </c>
      <c r="C298" s="46">
        <v>0.62085648148148154</v>
      </c>
      <c r="D298" s="1" t="s">
        <v>200</v>
      </c>
      <c r="E298" s="47">
        <v>14000</v>
      </c>
      <c r="F298" s="1" t="s">
        <v>162</v>
      </c>
      <c r="G298" s="1" t="s">
        <v>163</v>
      </c>
      <c r="H298" s="48">
        <v>14000</v>
      </c>
    </row>
    <row r="299" spans="1:8" x14ac:dyDescent="0.25">
      <c r="A299" s="1">
        <v>298</v>
      </c>
      <c r="B299" s="42">
        <v>46282</v>
      </c>
      <c r="C299" s="46">
        <v>0.6215856481481481</v>
      </c>
      <c r="D299" s="1" t="s">
        <v>134</v>
      </c>
      <c r="E299" s="47">
        <v>38000</v>
      </c>
      <c r="F299" s="1" t="s">
        <v>154</v>
      </c>
      <c r="G299" s="1" t="s">
        <v>155</v>
      </c>
      <c r="H299" s="48">
        <v>0</v>
      </c>
    </row>
    <row r="300" spans="1:8" x14ac:dyDescent="0.25">
      <c r="A300" s="1">
        <v>299</v>
      </c>
      <c r="B300" s="42">
        <v>46282</v>
      </c>
      <c r="C300" s="46">
        <v>0.6256018518518518</v>
      </c>
      <c r="D300" s="1" t="s">
        <v>134</v>
      </c>
      <c r="E300" s="47">
        <v>7000</v>
      </c>
      <c r="F300" s="1" t="s">
        <v>154</v>
      </c>
      <c r="G300" s="1" t="s">
        <v>155</v>
      </c>
      <c r="H300" s="48">
        <v>0</v>
      </c>
    </row>
    <row r="301" spans="1:8" x14ac:dyDescent="0.25">
      <c r="A301" s="1">
        <v>300</v>
      </c>
      <c r="B301" s="42">
        <v>46282</v>
      </c>
      <c r="C301" s="46">
        <v>0.63908564814814817</v>
      </c>
      <c r="D301" s="1" t="s">
        <v>477</v>
      </c>
      <c r="E301" s="47">
        <v>20000</v>
      </c>
      <c r="F301" s="1" t="s">
        <v>58</v>
      </c>
      <c r="G301" s="1" t="s">
        <v>155</v>
      </c>
      <c r="H301" s="48">
        <v>0</v>
      </c>
    </row>
    <row r="302" spans="1:8" ht="30" x14ac:dyDescent="0.25">
      <c r="A302" s="1">
        <v>301</v>
      </c>
      <c r="B302" s="42">
        <v>46282</v>
      </c>
      <c r="C302" s="46">
        <v>0.64189814814814816</v>
      </c>
      <c r="D302" s="1" t="s">
        <v>479</v>
      </c>
      <c r="E302" s="47">
        <v>6000</v>
      </c>
      <c r="F302" s="1" t="s">
        <v>58</v>
      </c>
      <c r="G302" s="1" t="s">
        <v>155</v>
      </c>
      <c r="H302" s="48">
        <v>0</v>
      </c>
    </row>
    <row r="303" spans="1:8" x14ac:dyDescent="0.25">
      <c r="A303" s="1">
        <v>302</v>
      </c>
      <c r="B303" s="42">
        <v>46282</v>
      </c>
      <c r="C303" s="46">
        <v>0.64981481481481485</v>
      </c>
      <c r="D303" s="1" t="s">
        <v>478</v>
      </c>
      <c r="E303" s="47">
        <v>14000</v>
      </c>
      <c r="F303" s="1" t="s">
        <v>162</v>
      </c>
      <c r="G303" s="1" t="s">
        <v>163</v>
      </c>
      <c r="H303" s="48">
        <v>14000</v>
      </c>
    </row>
    <row r="304" spans="1:8" x14ac:dyDescent="0.25">
      <c r="A304" s="1">
        <v>303</v>
      </c>
      <c r="B304" s="42">
        <v>46282</v>
      </c>
      <c r="C304" s="46">
        <v>0.67153935185185187</v>
      </c>
      <c r="D304" s="1" t="s">
        <v>206</v>
      </c>
      <c r="E304" s="47">
        <v>20000</v>
      </c>
      <c r="F304" s="1" t="s">
        <v>58</v>
      </c>
      <c r="G304" s="1" t="s">
        <v>155</v>
      </c>
      <c r="H304" s="48">
        <v>0</v>
      </c>
    </row>
    <row r="305" spans="1:8" x14ac:dyDescent="0.25">
      <c r="A305" s="1">
        <v>304</v>
      </c>
      <c r="B305" s="42">
        <v>46282</v>
      </c>
      <c r="C305" s="46">
        <v>0.73158564814814819</v>
      </c>
      <c r="D305" s="1" t="s">
        <v>134</v>
      </c>
      <c r="E305" s="47">
        <v>3000</v>
      </c>
      <c r="F305" s="1" t="s">
        <v>58</v>
      </c>
      <c r="G305" s="1" t="s">
        <v>155</v>
      </c>
      <c r="H305" s="48">
        <v>0</v>
      </c>
    </row>
    <row r="306" spans="1:8" x14ac:dyDescent="0.25">
      <c r="A306" s="1">
        <v>305</v>
      </c>
      <c r="B306" s="42">
        <v>46282</v>
      </c>
      <c r="C306" s="46">
        <v>0.77383101851851854</v>
      </c>
      <c r="D306" s="1" t="s">
        <v>484</v>
      </c>
      <c r="E306" s="47">
        <v>9000</v>
      </c>
      <c r="F306" s="1" t="s">
        <v>58</v>
      </c>
      <c r="G306" s="1" t="s">
        <v>155</v>
      </c>
      <c r="H306" s="48">
        <v>0</v>
      </c>
    </row>
    <row r="307" spans="1:8" x14ac:dyDescent="0.25">
      <c r="A307" s="1">
        <v>306</v>
      </c>
      <c r="B307" s="42">
        <v>46282</v>
      </c>
      <c r="C307" s="46">
        <v>0.78087962962962965</v>
      </c>
      <c r="D307" s="1" t="s">
        <v>210</v>
      </c>
      <c r="E307" s="47">
        <v>4000</v>
      </c>
      <c r="F307" s="1" t="s">
        <v>58</v>
      </c>
      <c r="G307" s="1" t="s">
        <v>155</v>
      </c>
      <c r="H307" s="48">
        <v>0</v>
      </c>
    </row>
    <row r="308" spans="1:8" x14ac:dyDescent="0.25">
      <c r="A308" s="1">
        <v>307</v>
      </c>
      <c r="B308" s="42">
        <v>46282</v>
      </c>
      <c r="C308" s="46">
        <v>0.781712962962963</v>
      </c>
      <c r="D308" s="1" t="s">
        <v>43</v>
      </c>
      <c r="E308" s="47">
        <v>16000</v>
      </c>
      <c r="F308" s="1" t="s">
        <v>58</v>
      </c>
      <c r="G308" s="1" t="s">
        <v>155</v>
      </c>
      <c r="H308" s="48">
        <v>0</v>
      </c>
    </row>
    <row r="309" spans="1:8" x14ac:dyDescent="0.25">
      <c r="A309" s="1">
        <v>308</v>
      </c>
      <c r="B309" s="42">
        <v>46282</v>
      </c>
      <c r="C309" s="46">
        <v>0.7818518518518518</v>
      </c>
      <c r="D309" s="1" t="s">
        <v>211</v>
      </c>
      <c r="E309" s="47">
        <v>3000</v>
      </c>
      <c r="F309" s="1" t="s">
        <v>154</v>
      </c>
      <c r="G309" s="1" t="s">
        <v>155</v>
      </c>
      <c r="H309" s="48">
        <v>0</v>
      </c>
    </row>
    <row r="310" spans="1:8" x14ac:dyDescent="0.25">
      <c r="A310" s="1">
        <v>309</v>
      </c>
      <c r="B310" s="42">
        <v>46282</v>
      </c>
      <c r="C310" s="46">
        <v>0.78722222222222227</v>
      </c>
      <c r="D310" s="1" t="s">
        <v>488</v>
      </c>
      <c r="E310" s="47">
        <v>17000</v>
      </c>
      <c r="F310" s="1" t="s">
        <v>154</v>
      </c>
      <c r="G310" s="1" t="s">
        <v>155</v>
      </c>
      <c r="H310" s="48">
        <v>0</v>
      </c>
    </row>
    <row r="311" spans="1:8" x14ac:dyDescent="0.25">
      <c r="A311" s="1">
        <v>310</v>
      </c>
      <c r="B311" s="42">
        <v>46282</v>
      </c>
      <c r="C311" s="46">
        <v>0.78827546296296291</v>
      </c>
      <c r="D311" s="1" t="s">
        <v>207</v>
      </c>
      <c r="E311" s="47">
        <v>12000</v>
      </c>
      <c r="F311" s="1" t="s">
        <v>58</v>
      </c>
      <c r="G311" s="1" t="s">
        <v>155</v>
      </c>
      <c r="H311" s="48">
        <v>0</v>
      </c>
    </row>
    <row r="312" spans="1:8" x14ac:dyDescent="0.25">
      <c r="A312" s="1">
        <v>311</v>
      </c>
      <c r="B312" s="42">
        <v>46282</v>
      </c>
      <c r="C312" s="46">
        <v>0.86594907407407407</v>
      </c>
      <c r="D312" s="1" t="s">
        <v>491</v>
      </c>
      <c r="E312" s="47">
        <v>18000</v>
      </c>
      <c r="F312" s="1" t="s">
        <v>58</v>
      </c>
      <c r="G312" s="1" t="s">
        <v>155</v>
      </c>
      <c r="H312" s="48">
        <v>0</v>
      </c>
    </row>
    <row r="313" spans="1:8" x14ac:dyDescent="0.25">
      <c r="A313" s="1">
        <v>312</v>
      </c>
      <c r="B313" s="42">
        <v>46282</v>
      </c>
      <c r="C313" s="46">
        <v>0.92863425925925924</v>
      </c>
      <c r="D313" s="1" t="s">
        <v>213</v>
      </c>
      <c r="E313" s="47">
        <v>10000</v>
      </c>
      <c r="F313" s="1" t="s">
        <v>154</v>
      </c>
      <c r="G313" s="1" t="s">
        <v>155</v>
      </c>
      <c r="H313" s="48">
        <v>0</v>
      </c>
    </row>
    <row r="314" spans="1:8" x14ac:dyDescent="0.25">
      <c r="A314" s="1">
        <v>313</v>
      </c>
      <c r="B314" s="42">
        <v>46282</v>
      </c>
      <c r="C314" s="46">
        <v>0.92932870370370368</v>
      </c>
      <c r="D314" s="1" t="s">
        <v>212</v>
      </c>
      <c r="E314" s="47">
        <v>10000</v>
      </c>
      <c r="F314" s="1" t="s">
        <v>154</v>
      </c>
      <c r="G314" s="1" t="s">
        <v>155</v>
      </c>
      <c r="H314" s="48">
        <v>0</v>
      </c>
    </row>
    <row r="315" spans="1:8" x14ac:dyDescent="0.25">
      <c r="A315" s="1">
        <v>314</v>
      </c>
      <c r="B315" s="42">
        <v>46282</v>
      </c>
      <c r="C315" s="46">
        <v>0.95695601851851853</v>
      </c>
      <c r="D315" s="1" t="s">
        <v>503</v>
      </c>
      <c r="E315" s="47">
        <v>20000</v>
      </c>
      <c r="F315" s="1" t="s">
        <v>154</v>
      </c>
      <c r="G315" s="1" t="s">
        <v>155</v>
      </c>
      <c r="H315" s="48">
        <v>0</v>
      </c>
    </row>
    <row r="316" spans="1:8" x14ac:dyDescent="0.25">
      <c r="A316" s="1">
        <v>315</v>
      </c>
      <c r="B316" s="42">
        <v>46282</v>
      </c>
      <c r="C316" s="46">
        <v>0.95900462962962962</v>
      </c>
      <c r="D316" s="1" t="s">
        <v>43</v>
      </c>
      <c r="E316" s="47">
        <v>10000</v>
      </c>
      <c r="F316" s="1" t="s">
        <v>58</v>
      </c>
      <c r="G316" s="1" t="s">
        <v>155</v>
      </c>
      <c r="H316" s="48">
        <v>0</v>
      </c>
    </row>
    <row r="317" spans="1:8" x14ac:dyDescent="0.25">
      <c r="A317" s="1">
        <v>316</v>
      </c>
      <c r="B317" s="42">
        <v>46283</v>
      </c>
      <c r="C317" s="46">
        <v>0.83091435185185181</v>
      </c>
      <c r="D317" s="1" t="s">
        <v>134</v>
      </c>
      <c r="E317" s="47">
        <v>6000</v>
      </c>
      <c r="F317" s="1" t="s">
        <v>58</v>
      </c>
      <c r="G317" s="1" t="s">
        <v>155</v>
      </c>
      <c r="H317" s="48">
        <v>0</v>
      </c>
    </row>
    <row r="318" spans="1:8" x14ac:dyDescent="0.25">
      <c r="A318" s="1">
        <v>317</v>
      </c>
      <c r="B318" s="42">
        <v>46283</v>
      </c>
      <c r="C318" s="46">
        <v>0.83182870370370365</v>
      </c>
      <c r="D318" s="1" t="s">
        <v>213</v>
      </c>
      <c r="E318" s="47">
        <v>16000</v>
      </c>
      <c r="F318" s="1" t="s">
        <v>154</v>
      </c>
      <c r="G318" s="1" t="s">
        <v>155</v>
      </c>
      <c r="H318" s="48">
        <v>0</v>
      </c>
    </row>
    <row r="319" spans="1:8" x14ac:dyDescent="0.25">
      <c r="A319" s="1">
        <v>318</v>
      </c>
      <c r="B319" s="42">
        <v>46283</v>
      </c>
      <c r="C319" s="46">
        <v>0.83209490740740744</v>
      </c>
      <c r="D319" s="1" t="s">
        <v>211</v>
      </c>
      <c r="E319" s="47">
        <v>9000</v>
      </c>
      <c r="F319" s="1" t="s">
        <v>154</v>
      </c>
      <c r="G319" s="1" t="s">
        <v>155</v>
      </c>
      <c r="H319" s="48">
        <v>0</v>
      </c>
    </row>
    <row r="320" spans="1:8" ht="30" x14ac:dyDescent="0.25">
      <c r="A320" s="1">
        <v>319</v>
      </c>
      <c r="B320" s="42">
        <v>46283</v>
      </c>
      <c r="C320" s="46">
        <v>0.83226851851851846</v>
      </c>
      <c r="D320" s="1" t="s">
        <v>203</v>
      </c>
      <c r="E320" s="47">
        <v>49600</v>
      </c>
      <c r="F320" s="1" t="s">
        <v>58</v>
      </c>
      <c r="G320" s="1" t="s">
        <v>155</v>
      </c>
      <c r="H320" s="48">
        <v>0</v>
      </c>
    </row>
    <row r="321" spans="1:8" x14ac:dyDescent="0.25">
      <c r="A321" s="1">
        <v>320</v>
      </c>
      <c r="B321" s="42">
        <v>46283</v>
      </c>
      <c r="C321" s="46">
        <v>0.83285879629629633</v>
      </c>
      <c r="D321" s="1" t="s">
        <v>43</v>
      </c>
      <c r="E321" s="47">
        <v>21000</v>
      </c>
      <c r="F321" s="1" t="s">
        <v>154</v>
      </c>
      <c r="G321" s="1" t="s">
        <v>155</v>
      </c>
      <c r="H321" s="48">
        <v>0</v>
      </c>
    </row>
    <row r="322" spans="1:8" x14ac:dyDescent="0.25">
      <c r="A322" s="1">
        <v>321</v>
      </c>
      <c r="B322" s="42">
        <v>46283</v>
      </c>
      <c r="C322" s="46">
        <v>0.83296296296296302</v>
      </c>
      <c r="D322" s="1" t="s">
        <v>515</v>
      </c>
      <c r="E322" s="47">
        <v>6000</v>
      </c>
      <c r="F322" s="1" t="s">
        <v>58</v>
      </c>
      <c r="G322" s="1" t="s">
        <v>155</v>
      </c>
      <c r="H322" s="48">
        <v>0</v>
      </c>
    </row>
    <row r="323" spans="1:8" x14ac:dyDescent="0.25">
      <c r="A323" s="1">
        <v>322</v>
      </c>
      <c r="B323" s="42">
        <v>46283</v>
      </c>
      <c r="C323" s="46">
        <v>0.8333680555555556</v>
      </c>
      <c r="D323" s="1" t="s">
        <v>516</v>
      </c>
      <c r="E323" s="47">
        <v>24000</v>
      </c>
      <c r="F323" s="1" t="s">
        <v>154</v>
      </c>
      <c r="G323" s="1" t="s">
        <v>155</v>
      </c>
      <c r="H323" s="48">
        <v>0</v>
      </c>
    </row>
    <row r="324" spans="1:8" x14ac:dyDescent="0.25">
      <c r="A324" s="1">
        <v>323</v>
      </c>
      <c r="B324" s="42">
        <v>46283</v>
      </c>
      <c r="C324" s="46">
        <v>0.83510416666666665</v>
      </c>
      <c r="D324" s="1" t="s">
        <v>42</v>
      </c>
      <c r="E324" s="47">
        <v>18000</v>
      </c>
      <c r="F324" s="1" t="s">
        <v>58</v>
      </c>
      <c r="G324" s="1" t="s">
        <v>155</v>
      </c>
      <c r="H324" s="48">
        <v>0</v>
      </c>
    </row>
    <row r="325" spans="1:8" x14ac:dyDescent="0.25">
      <c r="A325" s="1">
        <v>324</v>
      </c>
      <c r="B325" s="42">
        <v>46283</v>
      </c>
      <c r="C325" s="46">
        <v>0.85675925925925922</v>
      </c>
      <c r="D325" s="1" t="s">
        <v>503</v>
      </c>
      <c r="E325" s="47">
        <v>36000</v>
      </c>
      <c r="F325" s="1" t="s">
        <v>58</v>
      </c>
      <c r="G325" s="1" t="s">
        <v>155</v>
      </c>
      <c r="H325" s="48">
        <v>0</v>
      </c>
    </row>
    <row r="326" spans="1:8" x14ac:dyDescent="0.25">
      <c r="A326" s="1">
        <v>325</v>
      </c>
      <c r="B326" s="42">
        <v>46283</v>
      </c>
      <c r="C326" s="46">
        <v>0.87040509259259258</v>
      </c>
      <c r="D326" s="1" t="s">
        <v>233</v>
      </c>
      <c r="E326" s="47">
        <v>6000</v>
      </c>
      <c r="F326" s="1" t="s">
        <v>58</v>
      </c>
      <c r="G326" s="1" t="s">
        <v>155</v>
      </c>
      <c r="H326" s="48">
        <v>0</v>
      </c>
    </row>
    <row r="327" spans="1:8" x14ac:dyDescent="0.25">
      <c r="A327" s="1">
        <v>326</v>
      </c>
      <c r="B327" s="42">
        <v>46283</v>
      </c>
      <c r="C327" s="46">
        <v>0.87748842592592591</v>
      </c>
      <c r="D327" s="1" t="s">
        <v>134</v>
      </c>
      <c r="E327" s="47">
        <v>6000</v>
      </c>
      <c r="F327" s="1" t="s">
        <v>58</v>
      </c>
      <c r="G327" s="1" t="s">
        <v>155</v>
      </c>
      <c r="H327" s="48">
        <v>0</v>
      </c>
    </row>
    <row r="328" spans="1:8" x14ac:dyDescent="0.25">
      <c r="A328" s="1">
        <v>327</v>
      </c>
      <c r="B328" s="42">
        <v>46283</v>
      </c>
      <c r="C328" s="46">
        <v>0.885162037037037</v>
      </c>
      <c r="D328" s="1" t="s">
        <v>134</v>
      </c>
      <c r="E328" s="47">
        <v>12000</v>
      </c>
      <c r="F328" s="1" t="s">
        <v>154</v>
      </c>
      <c r="G328" s="1" t="s">
        <v>155</v>
      </c>
      <c r="H328" s="48">
        <v>0</v>
      </c>
    </row>
    <row r="329" spans="1:8" x14ac:dyDescent="0.25">
      <c r="A329" s="1">
        <v>328</v>
      </c>
      <c r="B329" s="42">
        <v>46283</v>
      </c>
      <c r="C329" s="46">
        <v>0.89093750000000005</v>
      </c>
      <c r="D329" s="1" t="s">
        <v>168</v>
      </c>
      <c r="E329" s="47">
        <v>13000</v>
      </c>
      <c r="F329" s="1" t="s">
        <v>154</v>
      </c>
      <c r="G329" s="1" t="s">
        <v>155</v>
      </c>
      <c r="H329" s="48">
        <v>0</v>
      </c>
    </row>
    <row r="330" spans="1:8" x14ac:dyDescent="0.25">
      <c r="A330" s="1">
        <v>329</v>
      </c>
      <c r="B330" s="42">
        <v>46283</v>
      </c>
      <c r="C330" s="46">
        <v>0.8981365740740741</v>
      </c>
      <c r="D330" s="1" t="s">
        <v>524</v>
      </c>
      <c r="E330" s="47">
        <v>6000</v>
      </c>
      <c r="F330" s="1" t="s">
        <v>154</v>
      </c>
      <c r="G330" s="1" t="s">
        <v>155</v>
      </c>
      <c r="H330" s="48">
        <v>0</v>
      </c>
    </row>
    <row r="331" spans="1:8" ht="30" x14ac:dyDescent="0.25">
      <c r="A331" s="1">
        <v>330</v>
      </c>
      <c r="B331" s="42">
        <v>46283</v>
      </c>
      <c r="C331" s="46">
        <v>0.90057870370370374</v>
      </c>
      <c r="D331" s="1" t="s">
        <v>523</v>
      </c>
      <c r="E331" s="47">
        <v>6000</v>
      </c>
      <c r="F331" s="1" t="s">
        <v>58</v>
      </c>
      <c r="G331" s="1" t="s">
        <v>155</v>
      </c>
      <c r="H331" s="48">
        <v>0</v>
      </c>
    </row>
    <row r="332" spans="1:8" ht="30" x14ac:dyDescent="0.25">
      <c r="A332" s="1">
        <v>331</v>
      </c>
      <c r="B332" s="42">
        <v>46283</v>
      </c>
      <c r="C332" s="46">
        <v>0.90170138888888884</v>
      </c>
      <c r="D332" s="1" t="s">
        <v>203</v>
      </c>
      <c r="E332" s="47">
        <v>76000</v>
      </c>
      <c r="F332" s="1" t="s">
        <v>58</v>
      </c>
      <c r="G332" s="1" t="s">
        <v>155</v>
      </c>
      <c r="H332" s="48">
        <v>0</v>
      </c>
    </row>
    <row r="333" spans="1:8" x14ac:dyDescent="0.25">
      <c r="A333" s="1">
        <v>332</v>
      </c>
      <c r="B333" s="42">
        <v>46283</v>
      </c>
      <c r="C333" s="46">
        <v>0.90248842592592593</v>
      </c>
      <c r="D333" s="1" t="s">
        <v>526</v>
      </c>
      <c r="E333" s="47">
        <v>104000</v>
      </c>
      <c r="F333" s="1" t="s">
        <v>58</v>
      </c>
      <c r="G333" s="1" t="s">
        <v>155</v>
      </c>
      <c r="H333" s="48">
        <v>0</v>
      </c>
    </row>
    <row r="334" spans="1:8" x14ac:dyDescent="0.25">
      <c r="A334" s="1">
        <v>333</v>
      </c>
      <c r="B334" s="42">
        <v>46283</v>
      </c>
      <c r="C334" s="46">
        <v>0.94362268518518522</v>
      </c>
      <c r="D334" s="1" t="s">
        <v>166</v>
      </c>
      <c r="E334" s="47">
        <v>14000</v>
      </c>
      <c r="F334" s="1" t="s">
        <v>58</v>
      </c>
      <c r="G334" s="1" t="s">
        <v>155</v>
      </c>
      <c r="H334" s="48">
        <v>0</v>
      </c>
    </row>
    <row r="335" spans="1:8" x14ac:dyDescent="0.25">
      <c r="A335" s="1">
        <v>334</v>
      </c>
      <c r="B335" s="42">
        <v>46283</v>
      </c>
      <c r="C335" s="46">
        <v>0.94858796296296299</v>
      </c>
      <c r="D335" s="1" t="s">
        <v>213</v>
      </c>
      <c r="E335" s="47">
        <v>6000</v>
      </c>
      <c r="F335" s="1" t="s">
        <v>58</v>
      </c>
      <c r="G335" s="1" t="s">
        <v>155</v>
      </c>
      <c r="H335" s="48">
        <v>0</v>
      </c>
    </row>
    <row r="336" spans="1:8" x14ac:dyDescent="0.25">
      <c r="A336" s="1">
        <v>335</v>
      </c>
      <c r="B336" s="42">
        <v>46283</v>
      </c>
      <c r="C336" s="46">
        <v>0.96171296296296294</v>
      </c>
      <c r="D336" s="1" t="s">
        <v>134</v>
      </c>
      <c r="E336" s="47">
        <v>10000</v>
      </c>
      <c r="F336" s="1" t="s">
        <v>154</v>
      </c>
      <c r="G336" s="1" t="s">
        <v>155</v>
      </c>
      <c r="H336" s="48">
        <v>0</v>
      </c>
    </row>
    <row r="337" spans="1:8" x14ac:dyDescent="0.25">
      <c r="A337" s="1">
        <v>336</v>
      </c>
      <c r="B337" s="42">
        <v>46283</v>
      </c>
      <c r="C337" s="46">
        <v>0.96182870370370366</v>
      </c>
      <c r="D337" s="1" t="s">
        <v>515</v>
      </c>
      <c r="E337" s="47">
        <v>10000</v>
      </c>
      <c r="F337" s="1" t="s">
        <v>154</v>
      </c>
      <c r="G337" s="1" t="s">
        <v>155</v>
      </c>
      <c r="H337" s="48">
        <v>0</v>
      </c>
    </row>
    <row r="338" spans="1:8" x14ac:dyDescent="0.25">
      <c r="A338" s="1">
        <v>337</v>
      </c>
      <c r="B338" s="42">
        <v>46283</v>
      </c>
      <c r="C338" s="46">
        <v>0.9654166666666667</v>
      </c>
      <c r="D338" s="1" t="s">
        <v>200</v>
      </c>
      <c r="E338" s="47">
        <v>14200</v>
      </c>
      <c r="F338" s="1" t="s">
        <v>162</v>
      </c>
      <c r="G338" s="1" t="s">
        <v>163</v>
      </c>
      <c r="H338" s="48">
        <v>14200</v>
      </c>
    </row>
    <row r="339" spans="1:8" x14ac:dyDescent="0.25">
      <c r="A339" s="1">
        <v>338</v>
      </c>
      <c r="B339" s="42">
        <v>46283</v>
      </c>
      <c r="C339" s="46">
        <v>0.97491898148148148</v>
      </c>
      <c r="D339" s="1" t="s">
        <v>134</v>
      </c>
      <c r="E339" s="47">
        <v>9000</v>
      </c>
      <c r="F339" s="1" t="s">
        <v>154</v>
      </c>
      <c r="G339" s="1" t="s">
        <v>155</v>
      </c>
      <c r="H339" s="48">
        <v>0</v>
      </c>
    </row>
    <row r="340" spans="1:8" x14ac:dyDescent="0.25">
      <c r="A340" s="1">
        <v>339</v>
      </c>
      <c r="B340" s="42">
        <v>46284</v>
      </c>
      <c r="C340" s="46">
        <v>5.4398148148148144E-4</v>
      </c>
      <c r="D340" s="1" t="s">
        <v>503</v>
      </c>
      <c r="E340" s="47">
        <v>28000</v>
      </c>
      <c r="F340" s="1" t="s">
        <v>154</v>
      </c>
      <c r="G340" s="1" t="s">
        <v>155</v>
      </c>
      <c r="H340" s="48">
        <v>0</v>
      </c>
    </row>
    <row r="341" spans="1:8" x14ac:dyDescent="0.25">
      <c r="A341" s="1">
        <v>340</v>
      </c>
      <c r="B341" s="42">
        <v>46284</v>
      </c>
      <c r="C341" s="46">
        <v>5.5902777777777773E-3</v>
      </c>
      <c r="D341" s="1" t="s">
        <v>199</v>
      </c>
      <c r="E341" s="47">
        <v>24000</v>
      </c>
      <c r="F341" s="1" t="s">
        <v>154</v>
      </c>
      <c r="G341" s="1" t="s">
        <v>155</v>
      </c>
      <c r="H341" s="48">
        <v>0</v>
      </c>
    </row>
    <row r="342" spans="1:8" x14ac:dyDescent="0.25">
      <c r="A342" s="1">
        <v>341</v>
      </c>
      <c r="B342" s="42">
        <v>46284</v>
      </c>
      <c r="C342" s="46">
        <v>4.2337962962962966E-2</v>
      </c>
      <c r="D342" s="1" t="s">
        <v>43</v>
      </c>
      <c r="E342" s="47">
        <v>7000</v>
      </c>
      <c r="F342" s="1" t="s">
        <v>58</v>
      </c>
      <c r="G342" s="1" t="s">
        <v>155</v>
      </c>
      <c r="H342" s="48">
        <v>0</v>
      </c>
    </row>
    <row r="343" spans="1:8" ht="30" x14ac:dyDescent="0.25">
      <c r="A343" s="1">
        <v>342</v>
      </c>
      <c r="B343" s="42">
        <v>46284</v>
      </c>
      <c r="C343" s="46">
        <v>6.4791666666666664E-2</v>
      </c>
      <c r="D343" s="1" t="s">
        <v>203</v>
      </c>
      <c r="E343" s="47">
        <v>9000</v>
      </c>
      <c r="F343" s="1" t="s">
        <v>58</v>
      </c>
      <c r="G343" s="1" t="s">
        <v>155</v>
      </c>
      <c r="H343" s="48">
        <v>0</v>
      </c>
    </row>
    <row r="344" spans="1:8" x14ac:dyDescent="0.25">
      <c r="A344" s="1">
        <v>343</v>
      </c>
      <c r="B344" s="42">
        <v>46284</v>
      </c>
      <c r="C344" s="46">
        <v>0.64956018518518521</v>
      </c>
      <c r="D344" s="1" t="s">
        <v>126</v>
      </c>
      <c r="E344" s="47">
        <v>59000</v>
      </c>
      <c r="F344" s="1" t="s">
        <v>154</v>
      </c>
      <c r="G344" s="1" t="s">
        <v>155</v>
      </c>
      <c r="H344" s="48">
        <v>0</v>
      </c>
    </row>
    <row r="345" spans="1:8" x14ac:dyDescent="0.25">
      <c r="A345" s="1">
        <v>344</v>
      </c>
      <c r="B345" s="42">
        <v>46284</v>
      </c>
      <c r="C345" s="46">
        <v>0.64968749999999997</v>
      </c>
      <c r="D345" s="1" t="s">
        <v>178</v>
      </c>
      <c r="E345" s="47">
        <v>16000</v>
      </c>
      <c r="F345" s="1" t="s">
        <v>162</v>
      </c>
      <c r="G345" s="1" t="s">
        <v>155</v>
      </c>
      <c r="H345" s="48">
        <v>0</v>
      </c>
    </row>
    <row r="346" spans="1:8" x14ac:dyDescent="0.25">
      <c r="A346" s="1">
        <v>345</v>
      </c>
      <c r="B346" s="42">
        <v>46284</v>
      </c>
      <c r="C346" s="46">
        <v>0.85833333333333328</v>
      </c>
      <c r="D346" s="1" t="s">
        <v>216</v>
      </c>
      <c r="E346" s="47">
        <v>12001</v>
      </c>
      <c r="F346" s="1" t="s">
        <v>58</v>
      </c>
      <c r="G346" s="1" t="s">
        <v>155</v>
      </c>
      <c r="H346" s="48">
        <v>0</v>
      </c>
    </row>
    <row r="347" spans="1:8" x14ac:dyDescent="0.25">
      <c r="A347" s="1">
        <v>346</v>
      </c>
      <c r="B347" s="42">
        <v>46284</v>
      </c>
      <c r="C347" s="46">
        <v>0.90104166666666663</v>
      </c>
      <c r="D347" s="1" t="s">
        <v>43</v>
      </c>
      <c r="E347" s="47">
        <v>26800</v>
      </c>
      <c r="F347" s="1" t="s">
        <v>154</v>
      </c>
      <c r="G347" s="1" t="s">
        <v>155</v>
      </c>
      <c r="H347" s="48">
        <v>0</v>
      </c>
    </row>
    <row r="348" spans="1:8" x14ac:dyDescent="0.25">
      <c r="A348" s="1">
        <v>347</v>
      </c>
      <c r="B348" s="42">
        <v>46284</v>
      </c>
      <c r="C348" s="46">
        <v>0.90123842592592596</v>
      </c>
      <c r="D348" s="1" t="s">
        <v>134</v>
      </c>
      <c r="E348" s="47">
        <v>6000</v>
      </c>
      <c r="F348" s="1" t="s">
        <v>58</v>
      </c>
      <c r="G348" s="1" t="s">
        <v>155</v>
      </c>
      <c r="H348" s="48">
        <v>0</v>
      </c>
    </row>
    <row r="349" spans="1:8" x14ac:dyDescent="0.25">
      <c r="A349" s="1">
        <v>348</v>
      </c>
      <c r="B349" s="42">
        <v>46284</v>
      </c>
      <c r="C349" s="46">
        <v>0.90142361111111113</v>
      </c>
      <c r="D349" s="1" t="s">
        <v>201</v>
      </c>
      <c r="E349" s="47">
        <v>4000</v>
      </c>
      <c r="F349" s="1" t="s">
        <v>58</v>
      </c>
      <c r="G349" s="1" t="s">
        <v>155</v>
      </c>
      <c r="H349" s="48">
        <v>0</v>
      </c>
    </row>
    <row r="350" spans="1:8" ht="30" x14ac:dyDescent="0.25">
      <c r="A350" s="1">
        <v>349</v>
      </c>
      <c r="B350" s="42">
        <v>46284</v>
      </c>
      <c r="C350" s="46">
        <v>0.90155092592592589</v>
      </c>
      <c r="D350" s="1" t="s">
        <v>203</v>
      </c>
      <c r="E350" s="47">
        <v>31600</v>
      </c>
      <c r="F350" s="1" t="s">
        <v>58</v>
      </c>
      <c r="G350" s="1" t="s">
        <v>155</v>
      </c>
      <c r="H350" s="48">
        <v>0</v>
      </c>
    </row>
    <row r="351" spans="1:8" x14ac:dyDescent="0.25">
      <c r="A351" s="1">
        <v>350</v>
      </c>
      <c r="B351" s="42">
        <v>46284</v>
      </c>
      <c r="C351" s="46">
        <v>0.90387731481481481</v>
      </c>
      <c r="D351" s="1" t="s">
        <v>42</v>
      </c>
      <c r="E351" s="47">
        <v>20000</v>
      </c>
      <c r="F351" s="1" t="s">
        <v>58</v>
      </c>
      <c r="G351" s="1" t="s">
        <v>155</v>
      </c>
      <c r="H351" s="48">
        <v>0</v>
      </c>
    </row>
    <row r="352" spans="1:8" x14ac:dyDescent="0.25">
      <c r="A352" s="1">
        <v>351</v>
      </c>
      <c r="B352" s="42">
        <v>46284</v>
      </c>
      <c r="C352" s="46">
        <v>0.90484953703703708</v>
      </c>
      <c r="D352" s="1" t="s">
        <v>568</v>
      </c>
      <c r="E352" s="47">
        <v>13000</v>
      </c>
      <c r="F352" s="1" t="s">
        <v>58</v>
      </c>
      <c r="G352" s="1" t="s">
        <v>155</v>
      </c>
      <c r="H352" s="48">
        <v>0</v>
      </c>
    </row>
    <row r="353" spans="1:8" x14ac:dyDescent="0.25">
      <c r="A353" s="1">
        <v>352</v>
      </c>
      <c r="B353" s="42">
        <v>46284</v>
      </c>
      <c r="C353" s="46">
        <v>0.90533564814814815</v>
      </c>
      <c r="D353" s="1" t="s">
        <v>134</v>
      </c>
      <c r="E353" s="47">
        <v>10000</v>
      </c>
      <c r="F353" s="1" t="s">
        <v>58</v>
      </c>
      <c r="G353" s="1" t="s">
        <v>155</v>
      </c>
      <c r="H353" s="48">
        <v>0</v>
      </c>
    </row>
    <row r="354" spans="1:8" x14ac:dyDescent="0.25">
      <c r="A354" s="1">
        <v>353</v>
      </c>
      <c r="B354" s="42">
        <v>46284</v>
      </c>
      <c r="C354" s="46">
        <v>0.96358796296296301</v>
      </c>
      <c r="D354" s="1" t="s">
        <v>166</v>
      </c>
      <c r="E354" s="47">
        <v>12000</v>
      </c>
      <c r="F354" s="1" t="s">
        <v>58</v>
      </c>
      <c r="G354" s="1" t="s">
        <v>155</v>
      </c>
      <c r="H354" s="48">
        <v>0</v>
      </c>
    </row>
    <row r="355" spans="1:8" x14ac:dyDescent="0.25">
      <c r="A355" s="1">
        <v>354</v>
      </c>
      <c r="B355" s="42">
        <v>46285</v>
      </c>
      <c r="C355" s="46">
        <v>2.6087962962962962E-2</v>
      </c>
      <c r="D355" s="1" t="s">
        <v>200</v>
      </c>
      <c r="E355" s="47">
        <v>24000</v>
      </c>
      <c r="F355" s="1" t="s">
        <v>162</v>
      </c>
      <c r="G355" s="1" t="s">
        <v>163</v>
      </c>
      <c r="H355" s="48">
        <v>24000</v>
      </c>
    </row>
    <row r="356" spans="1:8" x14ac:dyDescent="0.25">
      <c r="A356" s="1">
        <v>355</v>
      </c>
      <c r="B356" s="42">
        <v>46288</v>
      </c>
      <c r="C356" s="46">
        <v>0.64832175925925928</v>
      </c>
      <c r="D356" s="1" t="s">
        <v>220</v>
      </c>
      <c r="E356" s="47">
        <v>95000</v>
      </c>
      <c r="F356" s="1" t="s">
        <v>162</v>
      </c>
      <c r="G356" s="1" t="s">
        <v>155</v>
      </c>
      <c r="H356" s="48">
        <v>0</v>
      </c>
    </row>
    <row r="357" spans="1:8" x14ac:dyDescent="0.25">
      <c r="A357" s="1">
        <v>356</v>
      </c>
      <c r="B357" s="42">
        <v>46288</v>
      </c>
      <c r="C357" s="46">
        <v>0.64836805555555554</v>
      </c>
      <c r="D357" s="1" t="s">
        <v>503</v>
      </c>
      <c r="E357" s="47">
        <v>20400</v>
      </c>
      <c r="F357" s="1" t="s">
        <v>154</v>
      </c>
      <c r="G357" s="1" t="s">
        <v>155</v>
      </c>
      <c r="H357" s="48">
        <v>0</v>
      </c>
    </row>
    <row r="358" spans="1:8" x14ac:dyDescent="0.25">
      <c r="A358" s="1">
        <v>357</v>
      </c>
      <c r="B358" s="42">
        <v>46288</v>
      </c>
      <c r="C358" s="46">
        <v>0.65081018518518519</v>
      </c>
      <c r="D358" s="1" t="s">
        <v>168</v>
      </c>
      <c r="E358" s="47">
        <v>7000</v>
      </c>
      <c r="F358" s="1" t="s">
        <v>162</v>
      </c>
      <c r="G358" s="1" t="s">
        <v>155</v>
      </c>
      <c r="H358" s="48">
        <v>0</v>
      </c>
    </row>
    <row r="359" spans="1:8" x14ac:dyDescent="0.25">
      <c r="A359" s="1">
        <v>358</v>
      </c>
      <c r="B359" s="42">
        <v>46288</v>
      </c>
      <c r="C359" s="46">
        <v>0.65121527777777777</v>
      </c>
      <c r="D359" s="1" t="s">
        <v>200</v>
      </c>
      <c r="E359" s="47">
        <v>28000</v>
      </c>
      <c r="F359" s="1" t="s">
        <v>162</v>
      </c>
      <c r="G359" s="1" t="s">
        <v>163</v>
      </c>
      <c r="H359" s="48">
        <v>28000</v>
      </c>
    </row>
    <row r="360" spans="1:8" x14ac:dyDescent="0.25">
      <c r="A360" s="1">
        <v>359</v>
      </c>
      <c r="B360" s="42">
        <v>46288</v>
      </c>
      <c r="C360" s="46">
        <v>0.65168981481481481</v>
      </c>
      <c r="D360" s="1" t="s">
        <v>202</v>
      </c>
      <c r="E360" s="47">
        <v>21000</v>
      </c>
      <c r="F360" s="1" t="s">
        <v>58</v>
      </c>
      <c r="G360" s="1" t="s">
        <v>155</v>
      </c>
      <c r="H360" s="48">
        <v>0</v>
      </c>
    </row>
    <row r="361" spans="1:8" x14ac:dyDescent="0.25">
      <c r="A361" s="1">
        <v>360</v>
      </c>
      <c r="B361" s="42">
        <v>46288</v>
      </c>
      <c r="C361" s="46">
        <v>0.71064814814814814</v>
      </c>
      <c r="D361" s="1" t="s">
        <v>45</v>
      </c>
      <c r="E361" s="47">
        <v>25000</v>
      </c>
      <c r="F361" s="1" t="s">
        <v>154</v>
      </c>
      <c r="G361" s="1" t="s">
        <v>155</v>
      </c>
      <c r="H361" s="48">
        <v>0</v>
      </c>
    </row>
    <row r="362" spans="1:8" x14ac:dyDescent="0.25">
      <c r="A362" s="1">
        <v>361</v>
      </c>
      <c r="B362" s="42">
        <v>46288</v>
      </c>
      <c r="C362" s="46">
        <v>0.76083333333333336</v>
      </c>
      <c r="D362" s="1" t="s">
        <v>42</v>
      </c>
      <c r="E362" s="47">
        <v>30000</v>
      </c>
      <c r="F362" s="1" t="s">
        <v>162</v>
      </c>
      <c r="G362" s="1" t="s">
        <v>155</v>
      </c>
      <c r="H362" s="48">
        <v>0</v>
      </c>
    </row>
    <row r="363" spans="1:8" x14ac:dyDescent="0.25">
      <c r="A363" s="1">
        <v>362</v>
      </c>
      <c r="B363" s="42">
        <v>46288</v>
      </c>
      <c r="C363" s="46">
        <v>0.76391203703703703</v>
      </c>
      <c r="D363" s="1" t="s">
        <v>612</v>
      </c>
      <c r="E363" s="47">
        <v>16000</v>
      </c>
      <c r="F363" s="1" t="s">
        <v>58</v>
      </c>
      <c r="G363" s="1" t="s">
        <v>155</v>
      </c>
      <c r="H363" s="48">
        <v>0</v>
      </c>
    </row>
    <row r="364" spans="1:8" x14ac:dyDescent="0.25">
      <c r="A364" s="1">
        <v>363</v>
      </c>
      <c r="B364" s="42">
        <v>46288</v>
      </c>
      <c r="C364" s="46">
        <v>0.77063657407407404</v>
      </c>
      <c r="D364" s="1" t="s">
        <v>43</v>
      </c>
      <c r="E364" s="47">
        <v>20000</v>
      </c>
      <c r="F364" s="1" t="s">
        <v>154</v>
      </c>
      <c r="G364" s="1" t="s">
        <v>155</v>
      </c>
      <c r="H364" s="48">
        <v>0</v>
      </c>
    </row>
    <row r="365" spans="1:8" x14ac:dyDescent="0.25">
      <c r="A365" s="1">
        <v>364</v>
      </c>
      <c r="B365" s="42">
        <v>46288</v>
      </c>
      <c r="C365" s="46">
        <v>0.77543981481481483</v>
      </c>
      <c r="D365" s="1" t="s">
        <v>44</v>
      </c>
      <c r="E365" s="47">
        <v>13000</v>
      </c>
      <c r="F365" s="1" t="s">
        <v>154</v>
      </c>
      <c r="G365" s="1" t="s">
        <v>155</v>
      </c>
      <c r="H365" s="48">
        <v>0</v>
      </c>
    </row>
    <row r="366" spans="1:8" x14ac:dyDescent="0.25">
      <c r="A366" s="1">
        <v>365</v>
      </c>
      <c r="B366" s="42">
        <v>46288</v>
      </c>
      <c r="C366" s="46">
        <v>0.77718750000000003</v>
      </c>
      <c r="D366" s="1" t="s">
        <v>178</v>
      </c>
      <c r="E366" s="47">
        <v>13000</v>
      </c>
      <c r="F366" s="1" t="s">
        <v>154</v>
      </c>
      <c r="G366" s="1" t="s">
        <v>155</v>
      </c>
      <c r="H366" s="48">
        <v>0</v>
      </c>
    </row>
    <row r="367" spans="1:8" x14ac:dyDescent="0.25">
      <c r="A367" s="1">
        <v>366</v>
      </c>
      <c r="B367" s="42">
        <v>46288</v>
      </c>
      <c r="C367" s="46">
        <v>0.7807291666666667</v>
      </c>
      <c r="D367" s="1" t="s">
        <v>46</v>
      </c>
      <c r="E367" s="47">
        <v>42000</v>
      </c>
      <c r="F367" s="1" t="s">
        <v>154</v>
      </c>
      <c r="G367" s="1" t="s">
        <v>155</v>
      </c>
      <c r="H367" s="48">
        <v>0</v>
      </c>
    </row>
    <row r="368" spans="1:8" x14ac:dyDescent="0.25">
      <c r="A368" s="1">
        <v>367</v>
      </c>
      <c r="B368" s="42">
        <v>46288</v>
      </c>
      <c r="C368" s="46">
        <v>0.78175925925925926</v>
      </c>
      <c r="D368" s="1" t="s">
        <v>629</v>
      </c>
      <c r="E368" s="47">
        <v>32000</v>
      </c>
      <c r="F368" s="1" t="s">
        <v>58</v>
      </c>
      <c r="G368" s="1" t="s">
        <v>155</v>
      </c>
      <c r="H368" s="48">
        <v>0</v>
      </c>
    </row>
    <row r="369" spans="1:8" x14ac:dyDescent="0.25">
      <c r="A369" s="1">
        <v>368</v>
      </c>
      <c r="B369" s="42">
        <v>46288</v>
      </c>
      <c r="C369" s="46">
        <v>0.79221064814814812</v>
      </c>
      <c r="D369" s="1" t="s">
        <v>491</v>
      </c>
      <c r="E369" s="47">
        <v>13800</v>
      </c>
      <c r="F369" s="1" t="s">
        <v>58</v>
      </c>
      <c r="G369" s="1" t="s">
        <v>155</v>
      </c>
      <c r="H369" s="48">
        <v>0</v>
      </c>
    </row>
    <row r="370" spans="1:8" x14ac:dyDescent="0.25">
      <c r="A370" s="1">
        <v>369</v>
      </c>
      <c r="B370" s="42">
        <v>46288</v>
      </c>
      <c r="C370" s="46">
        <v>0.79222222222222227</v>
      </c>
      <c r="D370" s="1" t="s">
        <v>200</v>
      </c>
      <c r="E370" s="47">
        <v>3000</v>
      </c>
      <c r="F370" s="1" t="s">
        <v>162</v>
      </c>
      <c r="G370" s="1" t="s">
        <v>163</v>
      </c>
      <c r="H370" s="48">
        <v>3000</v>
      </c>
    </row>
    <row r="371" spans="1:8" x14ac:dyDescent="0.25">
      <c r="A371" s="1">
        <v>370</v>
      </c>
      <c r="B371" s="42">
        <v>46289</v>
      </c>
      <c r="C371" s="46">
        <v>0.69248842592592597</v>
      </c>
      <c r="D371" s="1" t="s">
        <v>211</v>
      </c>
      <c r="E371" s="47">
        <v>3000</v>
      </c>
      <c r="F371" s="1" t="s">
        <v>154</v>
      </c>
      <c r="G371" s="1" t="s">
        <v>155</v>
      </c>
      <c r="H371" s="48">
        <v>0</v>
      </c>
    </row>
    <row r="372" spans="1:8" x14ac:dyDescent="0.25">
      <c r="A372" s="1">
        <v>371</v>
      </c>
      <c r="B372" s="42">
        <v>46289</v>
      </c>
      <c r="C372" s="46">
        <v>0.73848379629629635</v>
      </c>
      <c r="D372" s="1" t="s">
        <v>233</v>
      </c>
      <c r="E372" s="47">
        <v>4000</v>
      </c>
      <c r="F372" s="1" t="s">
        <v>58</v>
      </c>
      <c r="G372" s="1" t="s">
        <v>155</v>
      </c>
      <c r="H372" s="48">
        <v>0</v>
      </c>
    </row>
    <row r="373" spans="1:8" x14ac:dyDescent="0.25">
      <c r="A373" s="1">
        <v>372</v>
      </c>
      <c r="B373" s="42">
        <v>46289</v>
      </c>
      <c r="C373" s="46">
        <v>0.7724537037037037</v>
      </c>
      <c r="D373" s="1" t="s">
        <v>463</v>
      </c>
      <c r="E373" s="47">
        <v>35000</v>
      </c>
      <c r="F373" s="1" t="s">
        <v>154</v>
      </c>
      <c r="G373" s="1" t="s">
        <v>155</v>
      </c>
      <c r="H373" s="48">
        <v>0</v>
      </c>
    </row>
    <row r="374" spans="1:8" x14ac:dyDescent="0.25">
      <c r="A374" s="1">
        <v>373</v>
      </c>
      <c r="B374" s="42">
        <v>46289</v>
      </c>
      <c r="C374" s="46">
        <v>0.78479166666666667</v>
      </c>
      <c r="D374" s="1" t="s">
        <v>43</v>
      </c>
      <c r="E374" s="47">
        <v>35000</v>
      </c>
      <c r="F374" s="1" t="s">
        <v>154</v>
      </c>
      <c r="G374" s="1" t="s">
        <v>155</v>
      </c>
      <c r="H374" s="48">
        <v>0</v>
      </c>
    </row>
    <row r="375" spans="1:8" x14ac:dyDescent="0.25">
      <c r="A375" s="1">
        <v>374</v>
      </c>
      <c r="B375" s="42">
        <v>46289</v>
      </c>
      <c r="C375" s="46">
        <v>0.80173611111111109</v>
      </c>
      <c r="D375" s="1" t="s">
        <v>212</v>
      </c>
      <c r="E375" s="47">
        <v>10000</v>
      </c>
      <c r="F375" s="1" t="s">
        <v>58</v>
      </c>
      <c r="G375" s="1" t="s">
        <v>155</v>
      </c>
      <c r="H375" s="48">
        <v>0</v>
      </c>
    </row>
    <row r="376" spans="1:8" x14ac:dyDescent="0.25">
      <c r="A376" s="1">
        <v>375</v>
      </c>
      <c r="B376" s="42">
        <v>46289</v>
      </c>
      <c r="C376" s="46">
        <v>0.80185185185185182</v>
      </c>
      <c r="D376" s="1" t="s">
        <v>210</v>
      </c>
      <c r="E376" s="47">
        <v>4000</v>
      </c>
      <c r="F376" s="1" t="s">
        <v>162</v>
      </c>
      <c r="G376" s="1" t="s">
        <v>155</v>
      </c>
      <c r="H376" s="48">
        <v>0</v>
      </c>
    </row>
    <row r="377" spans="1:8" x14ac:dyDescent="0.25">
      <c r="A377" s="1">
        <v>376</v>
      </c>
      <c r="B377" s="42">
        <v>46289</v>
      </c>
      <c r="C377" s="46">
        <v>0.80200231481481477</v>
      </c>
      <c r="D377" s="1" t="s">
        <v>429</v>
      </c>
      <c r="E377" s="47">
        <v>10000</v>
      </c>
      <c r="F377" s="1" t="s">
        <v>58</v>
      </c>
      <c r="G377" s="1" t="s">
        <v>155</v>
      </c>
      <c r="H377" s="48">
        <v>0</v>
      </c>
    </row>
    <row r="378" spans="1:8" x14ac:dyDescent="0.25">
      <c r="A378" s="1">
        <v>377</v>
      </c>
      <c r="B378" s="42">
        <v>46289</v>
      </c>
      <c r="C378" s="46">
        <v>0.85244212962962962</v>
      </c>
      <c r="D378" s="1" t="s">
        <v>200</v>
      </c>
      <c r="E378" s="47">
        <v>14000</v>
      </c>
      <c r="F378" s="1" t="s">
        <v>162</v>
      </c>
      <c r="G378" s="1" t="s">
        <v>163</v>
      </c>
      <c r="H378" s="48">
        <v>14000</v>
      </c>
    </row>
    <row r="379" spans="1:8" x14ac:dyDescent="0.25">
      <c r="A379" s="1">
        <v>378</v>
      </c>
      <c r="B379" s="42">
        <v>46289</v>
      </c>
      <c r="C379" s="46">
        <v>0.88947916666666671</v>
      </c>
      <c r="D379" s="1" t="s">
        <v>613</v>
      </c>
      <c r="E379" s="47">
        <v>6000</v>
      </c>
      <c r="F379" s="1" t="s">
        <v>58</v>
      </c>
      <c r="G379" s="1" t="s">
        <v>155</v>
      </c>
      <c r="H379" s="48">
        <v>0</v>
      </c>
    </row>
    <row r="380" spans="1:8" x14ac:dyDescent="0.25">
      <c r="A380" s="1">
        <v>379</v>
      </c>
      <c r="B380" s="42">
        <v>46289</v>
      </c>
      <c r="C380" s="46">
        <v>0.89435185185185184</v>
      </c>
      <c r="D380" s="1" t="s">
        <v>197</v>
      </c>
      <c r="E380" s="47">
        <v>22000</v>
      </c>
      <c r="F380" s="1" t="s">
        <v>162</v>
      </c>
      <c r="G380" s="1" t="s">
        <v>163</v>
      </c>
      <c r="H380" s="48">
        <v>16000</v>
      </c>
    </row>
    <row r="381" spans="1:8" x14ac:dyDescent="0.25">
      <c r="A381" s="1">
        <v>380</v>
      </c>
      <c r="B381" s="42">
        <v>46289</v>
      </c>
      <c r="C381" s="46">
        <v>0.89643518518518517</v>
      </c>
      <c r="D381" s="1" t="s">
        <v>213</v>
      </c>
      <c r="E381" s="47">
        <v>16000</v>
      </c>
      <c r="F381" s="1" t="s">
        <v>58</v>
      </c>
      <c r="G381" s="1" t="s">
        <v>155</v>
      </c>
      <c r="H381" s="48">
        <v>0</v>
      </c>
    </row>
    <row r="382" spans="1:8" x14ac:dyDescent="0.25">
      <c r="A382" s="1">
        <v>381</v>
      </c>
      <c r="B382" s="42">
        <v>46289</v>
      </c>
      <c r="C382" s="46">
        <v>0.90521990740740743</v>
      </c>
      <c r="D382" s="1" t="s">
        <v>168</v>
      </c>
      <c r="E382" s="47">
        <v>12000</v>
      </c>
      <c r="F382" s="1" t="s">
        <v>162</v>
      </c>
      <c r="G382" s="1" t="s">
        <v>155</v>
      </c>
      <c r="H382" s="48">
        <v>0</v>
      </c>
    </row>
    <row r="383" spans="1:8" x14ac:dyDescent="0.25">
      <c r="A383" s="1">
        <v>382</v>
      </c>
      <c r="B383" s="42">
        <v>46289</v>
      </c>
      <c r="C383" s="46">
        <v>0.95528935185185182</v>
      </c>
      <c r="D383" s="1" t="s">
        <v>614</v>
      </c>
      <c r="E383" s="47">
        <v>10000</v>
      </c>
      <c r="F383" s="1" t="s">
        <v>58</v>
      </c>
      <c r="G383" s="1" t="s">
        <v>155</v>
      </c>
      <c r="H383" s="48">
        <v>0</v>
      </c>
    </row>
    <row r="384" spans="1:8" x14ac:dyDescent="0.25">
      <c r="A384" s="1">
        <v>383</v>
      </c>
      <c r="B384" s="42">
        <v>46289</v>
      </c>
      <c r="C384" s="46">
        <v>0.96659722222222222</v>
      </c>
      <c r="D384" s="1" t="s">
        <v>178</v>
      </c>
      <c r="E384" s="47">
        <v>10000</v>
      </c>
      <c r="F384" s="1" t="s">
        <v>154</v>
      </c>
      <c r="G384" s="1" t="s">
        <v>155</v>
      </c>
      <c r="H384" s="48">
        <v>0</v>
      </c>
    </row>
    <row r="385" spans="1:8" x14ac:dyDescent="0.25">
      <c r="A385" s="1">
        <v>384</v>
      </c>
      <c r="B385" s="42">
        <v>46290</v>
      </c>
      <c r="C385" s="46">
        <v>0.53620370370370374</v>
      </c>
      <c r="D385" s="1" t="s">
        <v>43</v>
      </c>
      <c r="E385" s="47">
        <v>33000</v>
      </c>
      <c r="F385" s="1" t="s">
        <v>154</v>
      </c>
      <c r="G385" s="1" t="s">
        <v>155</v>
      </c>
      <c r="H385" s="48">
        <v>0</v>
      </c>
    </row>
    <row r="386" spans="1:8" x14ac:dyDescent="0.25">
      <c r="A386" s="1">
        <v>385</v>
      </c>
      <c r="B386" s="42">
        <v>46290</v>
      </c>
      <c r="C386" s="46">
        <v>0.53653935185185186</v>
      </c>
      <c r="D386" s="1" t="s">
        <v>615</v>
      </c>
      <c r="E386" s="47">
        <v>9000</v>
      </c>
      <c r="F386" s="1" t="s">
        <v>58</v>
      </c>
      <c r="G386" s="1" t="s">
        <v>155</v>
      </c>
      <c r="H386" s="48">
        <v>0</v>
      </c>
    </row>
    <row r="387" spans="1:8" x14ac:dyDescent="0.25">
      <c r="A387" s="1">
        <v>386</v>
      </c>
      <c r="B387" s="42">
        <v>46290</v>
      </c>
      <c r="C387" s="46">
        <v>0.53684027777777776</v>
      </c>
      <c r="D387" s="1" t="s">
        <v>616</v>
      </c>
      <c r="E387" s="47">
        <v>6000</v>
      </c>
      <c r="F387" s="1" t="s">
        <v>58</v>
      </c>
      <c r="G387" s="1" t="s">
        <v>155</v>
      </c>
      <c r="H387" s="48">
        <v>0</v>
      </c>
    </row>
    <row r="388" spans="1:8" x14ac:dyDescent="0.25">
      <c r="A388" s="1">
        <v>387</v>
      </c>
      <c r="B388" s="42">
        <v>46290</v>
      </c>
      <c r="C388" s="46">
        <v>0.53719907407407408</v>
      </c>
      <c r="D388" s="1" t="s">
        <v>617</v>
      </c>
      <c r="E388" s="47">
        <v>3000</v>
      </c>
      <c r="F388" s="1" t="s">
        <v>58</v>
      </c>
      <c r="G388" s="1" t="s">
        <v>155</v>
      </c>
      <c r="H388" s="48">
        <v>0</v>
      </c>
    </row>
    <row r="389" spans="1:8" x14ac:dyDescent="0.25">
      <c r="A389" s="1">
        <v>388</v>
      </c>
      <c r="B389" s="42">
        <v>46290</v>
      </c>
      <c r="C389" s="46">
        <v>0.53751157407407413</v>
      </c>
      <c r="D389" s="1" t="s">
        <v>618</v>
      </c>
      <c r="E389" s="47">
        <v>6000</v>
      </c>
      <c r="F389" s="1" t="s">
        <v>58</v>
      </c>
      <c r="G389" s="1" t="s">
        <v>155</v>
      </c>
      <c r="H389" s="48">
        <v>0</v>
      </c>
    </row>
    <row r="390" spans="1:8" x14ac:dyDescent="0.25">
      <c r="A390" s="1">
        <v>389</v>
      </c>
      <c r="B390" s="42">
        <v>46290</v>
      </c>
      <c r="C390" s="46">
        <v>0.53771990740740738</v>
      </c>
      <c r="D390" s="1" t="s">
        <v>619</v>
      </c>
      <c r="E390" s="47">
        <v>22000</v>
      </c>
      <c r="F390" s="1" t="s">
        <v>154</v>
      </c>
      <c r="G390" s="1" t="s">
        <v>155</v>
      </c>
      <c r="H390" s="48">
        <v>0</v>
      </c>
    </row>
    <row r="391" spans="1:8" x14ac:dyDescent="0.25">
      <c r="A391" s="1">
        <v>390</v>
      </c>
      <c r="B391" s="42">
        <v>46290</v>
      </c>
      <c r="C391" s="46">
        <v>0.53804398148148147</v>
      </c>
      <c r="D391" s="1" t="s">
        <v>620</v>
      </c>
      <c r="E391" s="47">
        <v>22000</v>
      </c>
      <c r="F391" s="1" t="s">
        <v>58</v>
      </c>
      <c r="G391" s="1" t="s">
        <v>155</v>
      </c>
      <c r="H391" s="48">
        <v>0</v>
      </c>
    </row>
    <row r="392" spans="1:8" x14ac:dyDescent="0.25">
      <c r="A392" s="1">
        <v>391</v>
      </c>
      <c r="B392" s="42">
        <v>46290</v>
      </c>
      <c r="C392" s="46">
        <v>0.53834490740740737</v>
      </c>
      <c r="D392" s="1" t="s">
        <v>628</v>
      </c>
      <c r="E392" s="47">
        <v>15000</v>
      </c>
      <c r="F392" s="1" t="s">
        <v>154</v>
      </c>
      <c r="G392" s="1" t="s">
        <v>155</v>
      </c>
      <c r="H392" s="48">
        <v>0</v>
      </c>
    </row>
    <row r="393" spans="1:8" x14ac:dyDescent="0.25">
      <c r="A393" s="1">
        <v>392</v>
      </c>
      <c r="B393" s="42">
        <v>46290</v>
      </c>
      <c r="C393" s="46">
        <v>0.57442129629629635</v>
      </c>
      <c r="D393" s="1" t="s">
        <v>621</v>
      </c>
      <c r="E393" s="47">
        <v>15000</v>
      </c>
      <c r="F393" s="1" t="s">
        <v>58</v>
      </c>
      <c r="G393" s="1" t="s">
        <v>155</v>
      </c>
      <c r="H393" s="48">
        <v>0</v>
      </c>
    </row>
    <row r="394" spans="1:8" x14ac:dyDescent="0.25">
      <c r="A394" s="1">
        <v>393</v>
      </c>
      <c r="B394" s="42">
        <v>46290</v>
      </c>
      <c r="C394" s="46">
        <v>0.67377314814814815</v>
      </c>
      <c r="D394" s="1" t="s">
        <v>231</v>
      </c>
      <c r="E394" s="47">
        <v>12000</v>
      </c>
      <c r="F394" s="1" t="s">
        <v>58</v>
      </c>
      <c r="G394" s="1" t="s">
        <v>155</v>
      </c>
      <c r="H394" s="48">
        <v>0</v>
      </c>
    </row>
    <row r="395" spans="1:8" x14ac:dyDescent="0.25">
      <c r="A395" s="1">
        <v>394</v>
      </c>
      <c r="B395" s="42">
        <v>46290</v>
      </c>
      <c r="C395" s="46">
        <v>0.6837847222222222</v>
      </c>
      <c r="D395" s="1" t="s">
        <v>170</v>
      </c>
      <c r="E395" s="47">
        <v>3000</v>
      </c>
      <c r="F395" s="1" t="s">
        <v>162</v>
      </c>
      <c r="G395" s="1" t="s">
        <v>155</v>
      </c>
      <c r="H395" s="48">
        <v>0</v>
      </c>
    </row>
    <row r="396" spans="1:8" x14ac:dyDescent="0.25">
      <c r="A396" s="1">
        <v>395</v>
      </c>
      <c r="B396" s="42">
        <v>46290</v>
      </c>
      <c r="C396" s="46">
        <v>0.68388888888888888</v>
      </c>
      <c r="D396" s="1" t="s">
        <v>255</v>
      </c>
      <c r="E396" s="47">
        <v>22000</v>
      </c>
      <c r="F396" s="1" t="s">
        <v>154</v>
      </c>
      <c r="G396" s="1" t="s">
        <v>155</v>
      </c>
      <c r="H396" s="48">
        <v>0</v>
      </c>
    </row>
    <row r="397" spans="1:8" x14ac:dyDescent="0.25">
      <c r="A397" s="1">
        <v>396</v>
      </c>
      <c r="B397" s="42">
        <v>46290</v>
      </c>
      <c r="C397" s="46">
        <v>0.68618055555555557</v>
      </c>
      <c r="D397" s="1" t="s">
        <v>622</v>
      </c>
      <c r="E397" s="47">
        <v>12000</v>
      </c>
      <c r="F397" s="1" t="s">
        <v>58</v>
      </c>
      <c r="G397" s="1" t="s">
        <v>155</v>
      </c>
      <c r="H397" s="48">
        <v>0</v>
      </c>
    </row>
    <row r="398" spans="1:8" x14ac:dyDescent="0.25">
      <c r="A398" s="1">
        <v>397</v>
      </c>
      <c r="B398" s="42">
        <v>46290</v>
      </c>
      <c r="C398" s="46">
        <v>0.7074421296296296</v>
      </c>
      <c r="D398" s="1" t="s">
        <v>615</v>
      </c>
      <c r="E398" s="47">
        <v>12000</v>
      </c>
      <c r="F398" s="1" t="s">
        <v>58</v>
      </c>
      <c r="G398" s="1" t="s">
        <v>155</v>
      </c>
      <c r="H398" s="48">
        <v>0</v>
      </c>
    </row>
    <row r="399" spans="1:8" x14ac:dyDescent="0.25">
      <c r="A399" s="1">
        <v>398</v>
      </c>
      <c r="B399" s="42">
        <v>46290</v>
      </c>
      <c r="C399" s="46">
        <v>0.74635416666666665</v>
      </c>
      <c r="D399" s="1" t="s">
        <v>615</v>
      </c>
      <c r="E399" s="47">
        <v>12000</v>
      </c>
      <c r="F399" s="1" t="s">
        <v>58</v>
      </c>
      <c r="G399" s="1" t="s">
        <v>155</v>
      </c>
      <c r="H399" s="48">
        <v>0</v>
      </c>
    </row>
    <row r="400" spans="1:8" x14ac:dyDescent="0.25">
      <c r="A400" s="1">
        <v>399</v>
      </c>
      <c r="B400" s="42">
        <v>46290</v>
      </c>
      <c r="C400" s="46">
        <v>0.76947916666666671</v>
      </c>
      <c r="D400" s="1" t="s">
        <v>42</v>
      </c>
      <c r="E400" s="47">
        <v>62000</v>
      </c>
      <c r="F400" s="1" t="s">
        <v>58</v>
      </c>
      <c r="G400" s="1" t="s">
        <v>155</v>
      </c>
      <c r="H400" s="48">
        <v>0</v>
      </c>
    </row>
    <row r="401" spans="1:8" x14ac:dyDescent="0.25">
      <c r="A401" s="1">
        <v>400</v>
      </c>
      <c r="B401" s="42">
        <v>46290</v>
      </c>
      <c r="C401" s="46">
        <v>0.78023148148148147</v>
      </c>
      <c r="D401" s="1" t="s">
        <v>615</v>
      </c>
      <c r="E401" s="47">
        <v>18000</v>
      </c>
      <c r="F401" s="1" t="s">
        <v>58</v>
      </c>
      <c r="G401" s="1" t="s">
        <v>155</v>
      </c>
      <c r="H401" s="48">
        <v>0</v>
      </c>
    </row>
    <row r="402" spans="1:8" x14ac:dyDescent="0.25">
      <c r="A402" s="1">
        <v>401</v>
      </c>
      <c r="B402" s="42">
        <v>46290</v>
      </c>
      <c r="C402" s="46">
        <v>0.79233796296296299</v>
      </c>
      <c r="D402" s="1" t="s">
        <v>134</v>
      </c>
      <c r="E402" s="47">
        <v>26000</v>
      </c>
      <c r="F402" s="1" t="s">
        <v>154</v>
      </c>
      <c r="G402" s="1" t="s">
        <v>155</v>
      </c>
      <c r="H402" s="48">
        <v>0</v>
      </c>
    </row>
    <row r="403" spans="1:8" x14ac:dyDescent="0.25">
      <c r="A403" s="1">
        <v>402</v>
      </c>
      <c r="B403" s="42">
        <v>46290</v>
      </c>
      <c r="C403" s="46">
        <v>0.88615740740740745</v>
      </c>
      <c r="D403" s="1" t="s">
        <v>503</v>
      </c>
      <c r="E403" s="47">
        <v>51200</v>
      </c>
      <c r="F403" s="1" t="s">
        <v>154</v>
      </c>
      <c r="G403" s="1" t="s">
        <v>155</v>
      </c>
      <c r="H403" s="48">
        <v>0</v>
      </c>
    </row>
    <row r="404" spans="1:8" x14ac:dyDescent="0.25">
      <c r="A404" s="1">
        <v>403</v>
      </c>
      <c r="B404" s="42">
        <v>46290</v>
      </c>
      <c r="C404" s="46">
        <v>0.89657407407407408</v>
      </c>
      <c r="D404" s="1" t="s">
        <v>623</v>
      </c>
      <c r="E404" s="47">
        <v>21000</v>
      </c>
      <c r="F404" s="1" t="s">
        <v>154</v>
      </c>
      <c r="G404" s="1" t="s">
        <v>155</v>
      </c>
      <c r="H404" s="48">
        <v>0</v>
      </c>
    </row>
    <row r="405" spans="1:8" x14ac:dyDescent="0.25">
      <c r="A405" s="1">
        <v>404</v>
      </c>
      <c r="B405" s="42">
        <v>46290</v>
      </c>
      <c r="C405" s="46">
        <v>0.91020833333333329</v>
      </c>
      <c r="D405" s="1" t="s">
        <v>209</v>
      </c>
      <c r="E405" s="47">
        <v>6000</v>
      </c>
      <c r="F405" s="1" t="s">
        <v>162</v>
      </c>
      <c r="G405" s="1" t="s">
        <v>155</v>
      </c>
      <c r="H405" s="48">
        <v>0</v>
      </c>
    </row>
    <row r="406" spans="1:8" x14ac:dyDescent="0.25">
      <c r="A406" s="1">
        <v>405</v>
      </c>
      <c r="B406" s="42">
        <v>46290</v>
      </c>
      <c r="C406" s="46">
        <v>0.94587962962962968</v>
      </c>
      <c r="D406" s="1" t="s">
        <v>200</v>
      </c>
      <c r="E406" s="47">
        <v>20000</v>
      </c>
      <c r="F406" s="1" t="s">
        <v>162</v>
      </c>
      <c r="G406" s="1" t="s">
        <v>163</v>
      </c>
      <c r="H406" s="48">
        <v>20000</v>
      </c>
    </row>
    <row r="407" spans="1:8" x14ac:dyDescent="0.25">
      <c r="A407" s="1">
        <v>406</v>
      </c>
      <c r="B407" s="42">
        <v>46291</v>
      </c>
      <c r="C407" s="46">
        <v>0.66929398148148145</v>
      </c>
      <c r="D407" s="1" t="s">
        <v>45</v>
      </c>
      <c r="E407" s="47">
        <v>30000</v>
      </c>
      <c r="F407" s="1" t="s">
        <v>154</v>
      </c>
      <c r="G407" s="1" t="s">
        <v>155</v>
      </c>
      <c r="H407" s="48">
        <v>0</v>
      </c>
    </row>
    <row r="408" spans="1:8" x14ac:dyDescent="0.25">
      <c r="A408" s="1">
        <v>407</v>
      </c>
      <c r="B408" s="42">
        <v>46291</v>
      </c>
      <c r="C408" s="46">
        <v>0.70218749999999996</v>
      </c>
      <c r="D408" s="1" t="s">
        <v>200</v>
      </c>
      <c r="E408" s="47">
        <v>13000</v>
      </c>
      <c r="F408" s="1" t="s">
        <v>162</v>
      </c>
      <c r="G408" s="1" t="s">
        <v>155</v>
      </c>
      <c r="H408" s="48">
        <v>0</v>
      </c>
    </row>
    <row r="409" spans="1:8" x14ac:dyDescent="0.25">
      <c r="A409" s="1">
        <v>408</v>
      </c>
      <c r="B409" s="42">
        <v>46291</v>
      </c>
      <c r="C409" s="46">
        <v>0.72685185185185186</v>
      </c>
      <c r="D409" s="1" t="s">
        <v>46</v>
      </c>
      <c r="E409" s="47">
        <v>6000</v>
      </c>
      <c r="F409" s="1" t="s">
        <v>154</v>
      </c>
      <c r="G409" s="1" t="s">
        <v>155</v>
      </c>
      <c r="H409" s="48">
        <v>0</v>
      </c>
    </row>
    <row r="410" spans="1:8" x14ac:dyDescent="0.25">
      <c r="A410" s="1">
        <v>409</v>
      </c>
      <c r="B410" s="42">
        <v>46291</v>
      </c>
      <c r="C410" s="46">
        <v>0.74049768518518522</v>
      </c>
      <c r="D410" s="1" t="s">
        <v>624</v>
      </c>
      <c r="E410" s="47">
        <v>4000</v>
      </c>
      <c r="F410" s="1" t="s">
        <v>154</v>
      </c>
      <c r="G410" s="1" t="s">
        <v>155</v>
      </c>
      <c r="H410" s="48">
        <v>0</v>
      </c>
    </row>
    <row r="411" spans="1:8" x14ac:dyDescent="0.25">
      <c r="A411" s="1">
        <v>410</v>
      </c>
      <c r="B411" s="42">
        <v>46291</v>
      </c>
      <c r="C411" s="46">
        <v>0.74437500000000001</v>
      </c>
      <c r="D411" s="1" t="s">
        <v>178</v>
      </c>
      <c r="E411" s="47">
        <v>3000</v>
      </c>
      <c r="F411" s="1" t="s">
        <v>58</v>
      </c>
      <c r="G411" s="1" t="s">
        <v>155</v>
      </c>
      <c r="H411" s="48">
        <v>0</v>
      </c>
    </row>
    <row r="412" spans="1:8" x14ac:dyDescent="0.25">
      <c r="A412" s="1">
        <v>411</v>
      </c>
      <c r="B412" s="42">
        <v>46291</v>
      </c>
      <c r="C412" s="46">
        <v>0.78153935185185186</v>
      </c>
      <c r="D412" s="1" t="s">
        <v>630</v>
      </c>
      <c r="E412" s="47">
        <v>15000</v>
      </c>
      <c r="F412" s="1" t="s">
        <v>154</v>
      </c>
      <c r="G412" s="1" t="s">
        <v>155</v>
      </c>
      <c r="H412" s="48">
        <v>0</v>
      </c>
    </row>
    <row r="413" spans="1:8" x14ac:dyDescent="0.25">
      <c r="A413" s="1">
        <v>412</v>
      </c>
      <c r="B413" s="42">
        <v>46291</v>
      </c>
      <c r="C413" s="46">
        <v>0.78349537037037043</v>
      </c>
      <c r="D413" s="1" t="s">
        <v>625</v>
      </c>
      <c r="E413" s="47">
        <v>7000</v>
      </c>
      <c r="F413" s="1" t="s">
        <v>58</v>
      </c>
      <c r="G413" s="1" t="s">
        <v>155</v>
      </c>
      <c r="H413" s="48">
        <v>0</v>
      </c>
    </row>
    <row r="414" spans="1:8" x14ac:dyDescent="0.25">
      <c r="A414" s="1">
        <v>413</v>
      </c>
      <c r="B414" s="42">
        <v>46291</v>
      </c>
      <c r="C414" s="46">
        <v>0.79561342592592588</v>
      </c>
      <c r="D414" s="1" t="s">
        <v>626</v>
      </c>
      <c r="E414" s="47">
        <v>12000</v>
      </c>
      <c r="F414" s="1" t="s">
        <v>58</v>
      </c>
      <c r="G414" s="1" t="s">
        <v>155</v>
      </c>
      <c r="H414" s="48">
        <v>0</v>
      </c>
    </row>
    <row r="415" spans="1:8" x14ac:dyDescent="0.25">
      <c r="A415" s="1">
        <v>414</v>
      </c>
      <c r="B415" s="42">
        <v>46291</v>
      </c>
      <c r="C415" s="46">
        <v>0.79682870370370373</v>
      </c>
      <c r="D415" s="1" t="s">
        <v>627</v>
      </c>
      <c r="E415" s="47">
        <v>14000</v>
      </c>
      <c r="F415" s="1" t="s">
        <v>58</v>
      </c>
      <c r="G415" s="1" t="s">
        <v>155</v>
      </c>
      <c r="H415" s="48">
        <v>0</v>
      </c>
    </row>
    <row r="416" spans="1:8" x14ac:dyDescent="0.25">
      <c r="A416" s="1">
        <v>415</v>
      </c>
      <c r="B416" s="42">
        <v>46291</v>
      </c>
      <c r="C416" s="46">
        <v>0.8021180555555556</v>
      </c>
      <c r="D416" s="1" t="s">
        <v>463</v>
      </c>
      <c r="E416" s="47">
        <v>27000</v>
      </c>
      <c r="F416" s="1" t="s">
        <v>154</v>
      </c>
      <c r="G416" s="1" t="s">
        <v>155</v>
      </c>
      <c r="H416" s="48">
        <v>0</v>
      </c>
    </row>
    <row r="417" spans="1:8" x14ac:dyDescent="0.25">
      <c r="A417" s="1">
        <v>416</v>
      </c>
      <c r="B417" s="42">
        <v>46291</v>
      </c>
      <c r="C417" s="46">
        <v>0.81</v>
      </c>
      <c r="D417" s="1" t="s">
        <v>209</v>
      </c>
      <c r="E417" s="47">
        <v>15400</v>
      </c>
      <c r="F417" s="1" t="s">
        <v>162</v>
      </c>
      <c r="G417" s="1" t="s">
        <v>155</v>
      </c>
      <c r="H417" s="48">
        <v>0</v>
      </c>
    </row>
    <row r="418" spans="1:8" x14ac:dyDescent="0.25">
      <c r="A418" s="1">
        <v>417</v>
      </c>
      <c r="B418" s="42">
        <v>46291</v>
      </c>
      <c r="C418" s="46">
        <v>0.81503472222222217</v>
      </c>
      <c r="D418" s="1" t="s">
        <v>134</v>
      </c>
      <c r="E418" s="47">
        <v>26000</v>
      </c>
      <c r="F418" s="1" t="s">
        <v>154</v>
      </c>
      <c r="G418" s="1" t="s">
        <v>155</v>
      </c>
      <c r="H418" s="48">
        <v>0</v>
      </c>
    </row>
    <row r="419" spans="1:8" x14ac:dyDescent="0.25">
      <c r="A419" s="1">
        <v>418</v>
      </c>
      <c r="B419" s="42">
        <v>46291</v>
      </c>
      <c r="C419" s="46">
        <v>0.87613425925925925</v>
      </c>
      <c r="D419" s="1" t="s">
        <v>211</v>
      </c>
      <c r="E419" s="47">
        <v>3000</v>
      </c>
      <c r="F419" s="1" t="s">
        <v>58</v>
      </c>
      <c r="G419" s="1" t="s">
        <v>155</v>
      </c>
      <c r="H419" s="48">
        <v>0</v>
      </c>
    </row>
    <row r="420" spans="1:8" x14ac:dyDescent="0.25">
      <c r="A420" s="1">
        <v>419</v>
      </c>
      <c r="B420" s="42">
        <v>46291</v>
      </c>
      <c r="C420" s="46">
        <v>0.87624999999999997</v>
      </c>
      <c r="D420" s="1" t="s">
        <v>212</v>
      </c>
      <c r="E420" s="47">
        <v>18000</v>
      </c>
      <c r="F420" s="1" t="s">
        <v>154</v>
      </c>
      <c r="G420" s="1" t="s">
        <v>155</v>
      </c>
      <c r="H420" s="48">
        <v>0</v>
      </c>
    </row>
    <row r="421" spans="1:8" x14ac:dyDescent="0.25">
      <c r="A421" s="1">
        <v>420</v>
      </c>
      <c r="B421" s="42">
        <v>46291</v>
      </c>
      <c r="C421" s="46">
        <v>0.87990740740740736</v>
      </c>
      <c r="D421" s="1" t="s">
        <v>210</v>
      </c>
      <c r="E421" s="47">
        <v>13000</v>
      </c>
      <c r="F421" s="1" t="s">
        <v>154</v>
      </c>
      <c r="G421" s="1" t="s">
        <v>155</v>
      </c>
      <c r="H421" s="48">
        <v>0</v>
      </c>
    </row>
    <row r="422" spans="1:8" x14ac:dyDescent="0.25">
      <c r="A422" s="1">
        <v>421</v>
      </c>
      <c r="B422" s="42">
        <v>46291</v>
      </c>
      <c r="C422" s="46">
        <v>0.90456018518518522</v>
      </c>
      <c r="D422" s="1" t="s">
        <v>233</v>
      </c>
      <c r="E422" s="47">
        <v>4000</v>
      </c>
      <c r="F422" s="1" t="s">
        <v>154</v>
      </c>
      <c r="G422" s="1" t="s">
        <v>155</v>
      </c>
      <c r="H422" s="48">
        <v>0</v>
      </c>
    </row>
    <row r="423" spans="1:8" x14ac:dyDescent="0.25">
      <c r="A423" s="1">
        <v>422</v>
      </c>
      <c r="B423" s="42">
        <v>46291</v>
      </c>
      <c r="C423" s="46">
        <v>0.93158564814814815</v>
      </c>
      <c r="D423" s="1" t="s">
        <v>211</v>
      </c>
      <c r="E423" s="47">
        <v>11000</v>
      </c>
      <c r="F423" s="1" t="s">
        <v>154</v>
      </c>
      <c r="G423" s="1" t="s">
        <v>155</v>
      </c>
      <c r="H423" s="48">
        <v>0</v>
      </c>
    </row>
    <row r="424" spans="1:8" x14ac:dyDescent="0.25">
      <c r="A424" s="1">
        <v>423</v>
      </c>
      <c r="B424" s="42">
        <v>46291</v>
      </c>
      <c r="C424" s="46">
        <v>0.93185185185185182</v>
      </c>
      <c r="D424" s="1" t="s">
        <v>213</v>
      </c>
      <c r="E424" s="47">
        <v>19000</v>
      </c>
      <c r="F424" s="1" t="s">
        <v>154</v>
      </c>
      <c r="G424" s="1" t="s">
        <v>155</v>
      </c>
      <c r="H424" s="48">
        <v>0</v>
      </c>
    </row>
    <row r="425" spans="1:8" x14ac:dyDescent="0.25">
      <c r="A425" s="1">
        <v>424</v>
      </c>
      <c r="B425" s="42">
        <v>46291</v>
      </c>
      <c r="C425" s="46">
        <v>0.93491898148148145</v>
      </c>
      <c r="D425" s="1" t="s">
        <v>210</v>
      </c>
      <c r="E425" s="47">
        <v>10000</v>
      </c>
      <c r="F425" s="1" t="s">
        <v>58</v>
      </c>
      <c r="G425" s="1" t="s">
        <v>155</v>
      </c>
      <c r="H425" s="48">
        <v>0</v>
      </c>
    </row>
    <row r="426" spans="1:8" x14ac:dyDescent="0.25">
      <c r="A426" s="1">
        <v>425</v>
      </c>
      <c r="B426" s="42">
        <v>46291</v>
      </c>
      <c r="C426" s="46">
        <v>0.93731481481481482</v>
      </c>
      <c r="D426" s="1" t="s">
        <v>43</v>
      </c>
      <c r="E426" s="47">
        <v>6000</v>
      </c>
      <c r="F426" s="1" t="s">
        <v>58</v>
      </c>
      <c r="G426" s="1" t="s">
        <v>155</v>
      </c>
      <c r="H426" s="48">
        <v>0</v>
      </c>
    </row>
    <row r="427" spans="1:8" x14ac:dyDescent="0.25">
      <c r="A427" s="1">
        <v>426</v>
      </c>
      <c r="B427" s="42">
        <v>46291</v>
      </c>
      <c r="C427" s="46">
        <v>0.94150462962962966</v>
      </c>
      <c r="D427" s="1" t="s">
        <v>170</v>
      </c>
      <c r="E427" s="47">
        <v>27000</v>
      </c>
      <c r="F427" s="1" t="s">
        <v>154</v>
      </c>
      <c r="G427" s="1" t="s">
        <v>155</v>
      </c>
      <c r="H427" s="48">
        <v>0</v>
      </c>
    </row>
    <row r="428" spans="1:8" x14ac:dyDescent="0.25">
      <c r="A428" s="1">
        <v>427</v>
      </c>
      <c r="B428" s="42">
        <v>46291</v>
      </c>
      <c r="C428" s="46">
        <v>0.94163194444444442</v>
      </c>
      <c r="D428" s="1" t="s">
        <v>614</v>
      </c>
      <c r="E428" s="47">
        <v>10000</v>
      </c>
      <c r="F428" s="1" t="s">
        <v>58</v>
      </c>
      <c r="G428" s="1" t="s">
        <v>155</v>
      </c>
      <c r="H428" s="48">
        <v>0</v>
      </c>
    </row>
    <row r="429" spans="1:8" x14ac:dyDescent="0.25">
      <c r="A429" s="1">
        <v>428</v>
      </c>
      <c r="B429" s="42">
        <v>46291</v>
      </c>
      <c r="C429" s="46">
        <v>0.95010416666666664</v>
      </c>
      <c r="D429" s="1" t="s">
        <v>231</v>
      </c>
      <c r="E429" s="47">
        <v>10000</v>
      </c>
      <c r="F429" s="1" t="s">
        <v>58</v>
      </c>
      <c r="G429" s="1" t="s">
        <v>155</v>
      </c>
      <c r="H429" s="48">
        <v>0</v>
      </c>
    </row>
    <row r="430" spans="1:8" x14ac:dyDescent="0.25">
      <c r="A430" s="1">
        <v>429</v>
      </c>
      <c r="B430" s="42">
        <v>46291</v>
      </c>
      <c r="C430" s="46">
        <v>0.97603009259259255</v>
      </c>
      <c r="D430" s="1" t="s">
        <v>43</v>
      </c>
      <c r="E430" s="47">
        <v>7000</v>
      </c>
      <c r="F430" s="1" t="s">
        <v>58</v>
      </c>
      <c r="G430" s="1" t="s">
        <v>155</v>
      </c>
      <c r="H430" s="48">
        <v>0</v>
      </c>
    </row>
    <row r="431" spans="1:8" x14ac:dyDescent="0.25">
      <c r="A431" s="1">
        <v>430</v>
      </c>
      <c r="B431" s="42">
        <v>46291</v>
      </c>
      <c r="C431" s="46">
        <v>0.983912037037037</v>
      </c>
      <c r="D431" s="1" t="s">
        <v>211</v>
      </c>
      <c r="E431" s="47">
        <v>3000</v>
      </c>
      <c r="F431" s="1" t="s">
        <v>162</v>
      </c>
      <c r="G431" s="1" t="s">
        <v>155</v>
      </c>
      <c r="H431" s="48">
        <v>0</v>
      </c>
    </row>
    <row r="432" spans="1:8" x14ac:dyDescent="0.25">
      <c r="A432" s="1">
        <v>431</v>
      </c>
      <c r="B432" s="42">
        <v>46292</v>
      </c>
      <c r="C432" s="46">
        <v>0.47318287037037038</v>
      </c>
      <c r="D432" s="1" t="s">
        <v>43</v>
      </c>
      <c r="E432" s="47">
        <v>14000</v>
      </c>
      <c r="F432" s="1" t="s">
        <v>58</v>
      </c>
      <c r="G432" s="1" t="s">
        <v>155</v>
      </c>
      <c r="H432" s="48">
        <v>0</v>
      </c>
    </row>
    <row r="433" spans="1:8" x14ac:dyDescent="0.25">
      <c r="A433" s="1">
        <v>432</v>
      </c>
      <c r="B433" s="42">
        <v>46293</v>
      </c>
      <c r="C433" s="46">
        <v>0.74603009259259256</v>
      </c>
      <c r="D433" s="1" t="s">
        <v>427</v>
      </c>
      <c r="E433" s="47">
        <v>37400</v>
      </c>
      <c r="F433" s="1" t="s">
        <v>154</v>
      </c>
      <c r="G433" s="1" t="s">
        <v>155</v>
      </c>
      <c r="H433" s="48">
        <v>0</v>
      </c>
    </row>
    <row r="434" spans="1:8" ht="30" x14ac:dyDescent="0.25">
      <c r="A434" s="1">
        <v>433</v>
      </c>
      <c r="B434" s="42">
        <v>46295</v>
      </c>
      <c r="C434" s="46">
        <v>0.66682870370370373</v>
      </c>
      <c r="D434" s="1" t="s">
        <v>203</v>
      </c>
      <c r="E434" s="47">
        <v>16200</v>
      </c>
      <c r="F434" s="1" t="s">
        <v>154</v>
      </c>
      <c r="G434" s="1" t="s">
        <v>155</v>
      </c>
      <c r="H434" s="48">
        <v>0</v>
      </c>
    </row>
    <row r="435" spans="1:8" x14ac:dyDescent="0.25">
      <c r="A435" s="1">
        <v>434</v>
      </c>
      <c r="B435" s="42">
        <v>46295</v>
      </c>
      <c r="C435" s="46">
        <v>0.66743055555555553</v>
      </c>
      <c r="D435" s="1" t="s">
        <v>736</v>
      </c>
      <c r="E435" s="47">
        <v>19000</v>
      </c>
      <c r="F435" s="1" t="s">
        <v>154</v>
      </c>
      <c r="G435" s="1" t="s">
        <v>155</v>
      </c>
      <c r="H435" s="48">
        <v>0</v>
      </c>
    </row>
    <row r="436" spans="1:8" x14ac:dyDescent="0.25">
      <c r="A436" s="1">
        <v>435</v>
      </c>
      <c r="B436" s="42">
        <v>46295</v>
      </c>
      <c r="C436" s="46">
        <v>0.67190972222222223</v>
      </c>
      <c r="D436" s="1" t="s">
        <v>45</v>
      </c>
      <c r="E436" s="47">
        <v>13000</v>
      </c>
      <c r="F436" s="1" t="s">
        <v>154</v>
      </c>
      <c r="G436" s="1" t="s">
        <v>155</v>
      </c>
      <c r="H436" s="48">
        <v>0</v>
      </c>
    </row>
    <row r="437" spans="1:8" x14ac:dyDescent="0.25">
      <c r="A437" s="1">
        <v>436</v>
      </c>
      <c r="B437" s="42">
        <v>46295</v>
      </c>
      <c r="C437" s="46">
        <v>0.71726851851851847</v>
      </c>
      <c r="D437" s="1" t="s">
        <v>255</v>
      </c>
      <c r="E437" s="47">
        <v>10000</v>
      </c>
      <c r="F437" s="1" t="s">
        <v>154</v>
      </c>
      <c r="G437" s="1" t="s">
        <v>155</v>
      </c>
      <c r="H437" s="48">
        <v>0</v>
      </c>
    </row>
    <row r="438" spans="1:8" x14ac:dyDescent="0.25">
      <c r="A438" s="1">
        <v>437</v>
      </c>
      <c r="B438" s="42">
        <v>46295</v>
      </c>
      <c r="C438" s="46">
        <v>0.76864583333333336</v>
      </c>
      <c r="D438" s="1" t="s">
        <v>209</v>
      </c>
      <c r="E438" s="47">
        <v>10000</v>
      </c>
      <c r="F438" s="1" t="s">
        <v>58</v>
      </c>
      <c r="G438" s="1" t="s">
        <v>155</v>
      </c>
      <c r="H438" s="48">
        <v>0</v>
      </c>
    </row>
    <row r="439" spans="1:8" ht="30" x14ac:dyDescent="0.25">
      <c r="A439" s="1">
        <v>438</v>
      </c>
      <c r="B439" s="42">
        <v>46295</v>
      </c>
      <c r="C439" s="46">
        <v>0.78165509259259258</v>
      </c>
      <c r="D439" s="1" t="s">
        <v>737</v>
      </c>
      <c r="E439" s="47">
        <v>12000</v>
      </c>
      <c r="F439" s="1" t="s">
        <v>154</v>
      </c>
      <c r="G439" s="1" t="s">
        <v>155</v>
      </c>
      <c r="H439" s="48">
        <v>0</v>
      </c>
    </row>
    <row r="440" spans="1:8" x14ac:dyDescent="0.25">
      <c r="A440" s="1">
        <v>439</v>
      </c>
      <c r="B440" s="42">
        <v>46295</v>
      </c>
      <c r="C440" s="46">
        <v>0.80171296296296302</v>
      </c>
      <c r="D440" s="1" t="s">
        <v>210</v>
      </c>
      <c r="E440" s="47">
        <v>19000</v>
      </c>
      <c r="F440" s="1" t="s">
        <v>154</v>
      </c>
      <c r="G440" s="1" t="s">
        <v>155</v>
      </c>
      <c r="H440" s="48">
        <v>0</v>
      </c>
    </row>
    <row r="441" spans="1:8" x14ac:dyDescent="0.25">
      <c r="A441" s="1">
        <v>440</v>
      </c>
      <c r="B441" s="42">
        <v>46295</v>
      </c>
      <c r="C441" s="46">
        <v>0.82226851851851857</v>
      </c>
      <c r="D441" s="1" t="s">
        <v>232</v>
      </c>
      <c r="E441" s="47">
        <v>9000</v>
      </c>
      <c r="F441" s="1" t="s">
        <v>154</v>
      </c>
      <c r="G441" s="1" t="s">
        <v>155</v>
      </c>
      <c r="H441" s="48">
        <v>0</v>
      </c>
    </row>
    <row r="442" spans="1:8" x14ac:dyDescent="0.25">
      <c r="A442" s="1">
        <v>441</v>
      </c>
      <c r="B442" s="42">
        <v>46295</v>
      </c>
      <c r="C442" s="46">
        <v>0.83401620370370366</v>
      </c>
      <c r="D442" s="1" t="s">
        <v>730</v>
      </c>
      <c r="E442" s="47">
        <v>21600</v>
      </c>
      <c r="F442" s="1" t="s">
        <v>154</v>
      </c>
      <c r="G442" s="1" t="s">
        <v>155</v>
      </c>
      <c r="H442" s="48">
        <v>0</v>
      </c>
    </row>
    <row r="443" spans="1:8" x14ac:dyDescent="0.25">
      <c r="A443" s="1">
        <v>442</v>
      </c>
      <c r="B443" s="42">
        <v>46295</v>
      </c>
      <c r="C443" s="46">
        <v>0.84762731481481479</v>
      </c>
      <c r="D443" s="1" t="s">
        <v>729</v>
      </c>
      <c r="E443" s="47">
        <v>6000</v>
      </c>
      <c r="F443" s="1" t="s">
        <v>58</v>
      </c>
      <c r="G443" s="1" t="s">
        <v>155</v>
      </c>
      <c r="H443" s="48">
        <v>0</v>
      </c>
    </row>
    <row r="444" spans="1:8" x14ac:dyDescent="0.25">
      <c r="A444" s="1">
        <v>443</v>
      </c>
      <c r="B444" s="42">
        <v>46295</v>
      </c>
      <c r="C444" s="46">
        <v>0.86350694444444442</v>
      </c>
      <c r="D444" s="1" t="s">
        <v>731</v>
      </c>
      <c r="E444" s="47">
        <v>22000</v>
      </c>
      <c r="F444" s="1" t="s">
        <v>58</v>
      </c>
      <c r="G444" s="1" t="s">
        <v>155</v>
      </c>
      <c r="H444" s="48">
        <v>0</v>
      </c>
    </row>
    <row r="445" spans="1:8" x14ac:dyDescent="0.25">
      <c r="A445" s="1">
        <v>444</v>
      </c>
      <c r="B445" s="42">
        <v>46295</v>
      </c>
      <c r="C445" s="46">
        <v>0.89240740740740743</v>
      </c>
      <c r="D445" s="1" t="s">
        <v>209</v>
      </c>
      <c r="E445" s="47">
        <v>9000</v>
      </c>
      <c r="F445" s="1" t="s">
        <v>162</v>
      </c>
      <c r="G445" s="1" t="s">
        <v>155</v>
      </c>
      <c r="H445" s="48">
        <v>0</v>
      </c>
    </row>
    <row r="446" spans="1:8" x14ac:dyDescent="0.25">
      <c r="A446" s="1">
        <v>445</v>
      </c>
      <c r="B446" s="42">
        <v>46295</v>
      </c>
      <c r="C446" s="46">
        <v>0.89649305555555558</v>
      </c>
      <c r="D446" s="1" t="s">
        <v>43</v>
      </c>
      <c r="E446" s="47">
        <v>18800</v>
      </c>
      <c r="F446" s="1" t="s">
        <v>154</v>
      </c>
      <c r="G446" s="1" t="s">
        <v>155</v>
      </c>
      <c r="H446" s="48">
        <v>0</v>
      </c>
    </row>
    <row r="447" spans="1:8" x14ac:dyDescent="0.25">
      <c r="A447" s="1">
        <v>446</v>
      </c>
      <c r="B447" s="42">
        <v>46295</v>
      </c>
      <c r="C447" s="46">
        <v>0.96256944444444448</v>
      </c>
      <c r="D447" s="1" t="s">
        <v>42</v>
      </c>
      <c r="E447" s="47">
        <v>9000</v>
      </c>
      <c r="F447" s="1" t="s">
        <v>162</v>
      </c>
      <c r="G447" s="1" t="s">
        <v>155</v>
      </c>
      <c r="H447" s="48">
        <v>0</v>
      </c>
    </row>
    <row r="448" spans="1:8" x14ac:dyDescent="0.25">
      <c r="A448" s="1">
        <v>447</v>
      </c>
      <c r="B448" s="42">
        <v>46296</v>
      </c>
      <c r="C448" s="46">
        <v>0.64298611111111115</v>
      </c>
      <c r="D448" s="1" t="s">
        <v>739</v>
      </c>
      <c r="E448" s="47">
        <v>13400</v>
      </c>
      <c r="F448" s="1" t="s">
        <v>154</v>
      </c>
      <c r="G448" s="1" t="s">
        <v>155</v>
      </c>
      <c r="H448" s="48">
        <v>0</v>
      </c>
    </row>
    <row r="449" spans="1:8" x14ac:dyDescent="0.25">
      <c r="A449" s="1">
        <v>448</v>
      </c>
      <c r="B449" s="42">
        <v>46296</v>
      </c>
      <c r="C449" s="46">
        <v>0.70187500000000003</v>
      </c>
      <c r="D449" s="1" t="s">
        <v>209</v>
      </c>
      <c r="E449" s="47">
        <v>6000</v>
      </c>
      <c r="F449" s="1" t="s">
        <v>162</v>
      </c>
      <c r="G449" s="1" t="s">
        <v>155</v>
      </c>
      <c r="H449" s="48">
        <v>0</v>
      </c>
    </row>
    <row r="450" spans="1:8" x14ac:dyDescent="0.25">
      <c r="A450" s="1">
        <v>449</v>
      </c>
      <c r="B450" s="42">
        <v>46296</v>
      </c>
      <c r="C450" s="46">
        <v>0.79281250000000003</v>
      </c>
      <c r="D450" s="1" t="s">
        <v>43</v>
      </c>
      <c r="E450" s="47">
        <v>35200</v>
      </c>
      <c r="F450" s="1" t="s">
        <v>154</v>
      </c>
      <c r="G450" s="1" t="s">
        <v>155</v>
      </c>
      <c r="H450" s="48">
        <v>0</v>
      </c>
    </row>
    <row r="451" spans="1:8" x14ac:dyDescent="0.25">
      <c r="A451" s="1">
        <v>450</v>
      </c>
      <c r="B451" s="42">
        <v>46296</v>
      </c>
      <c r="C451" s="46">
        <v>0.79370370370370369</v>
      </c>
      <c r="D451" s="1" t="s">
        <v>740</v>
      </c>
      <c r="E451" s="47">
        <v>3000</v>
      </c>
      <c r="F451" s="1" t="s">
        <v>58</v>
      </c>
      <c r="G451" s="1" t="s">
        <v>155</v>
      </c>
      <c r="H451" s="48">
        <v>0</v>
      </c>
    </row>
    <row r="452" spans="1:8" x14ac:dyDescent="0.25">
      <c r="A452" s="1">
        <v>451</v>
      </c>
      <c r="B452" s="42">
        <v>46296</v>
      </c>
      <c r="C452" s="46">
        <v>0.81349537037037034</v>
      </c>
      <c r="D452" s="1" t="s">
        <v>741</v>
      </c>
      <c r="E452" s="47">
        <v>35000</v>
      </c>
      <c r="F452" s="1" t="s">
        <v>154</v>
      </c>
      <c r="G452" s="1" t="s">
        <v>155</v>
      </c>
      <c r="H452" s="48">
        <v>0</v>
      </c>
    </row>
    <row r="453" spans="1:8" x14ac:dyDescent="0.25">
      <c r="A453" s="1">
        <v>452</v>
      </c>
      <c r="B453" s="42">
        <v>46296</v>
      </c>
      <c r="C453" s="46">
        <v>0.83952546296296293</v>
      </c>
      <c r="D453" s="1" t="s">
        <v>166</v>
      </c>
      <c r="E453" s="47">
        <v>12000</v>
      </c>
      <c r="F453" s="1" t="s">
        <v>58</v>
      </c>
      <c r="G453" s="1" t="s">
        <v>155</v>
      </c>
      <c r="H453" s="48">
        <v>0</v>
      </c>
    </row>
    <row r="454" spans="1:8" x14ac:dyDescent="0.25">
      <c r="A454" s="1">
        <v>453</v>
      </c>
      <c r="B454" s="42">
        <v>46296</v>
      </c>
      <c r="C454" s="46">
        <v>0.8397337962962963</v>
      </c>
      <c r="D454" s="1" t="s">
        <v>613</v>
      </c>
      <c r="E454" s="47">
        <v>10000</v>
      </c>
      <c r="F454" s="1" t="s">
        <v>154</v>
      </c>
      <c r="G454" s="1" t="s">
        <v>155</v>
      </c>
      <c r="H454" s="48">
        <v>0</v>
      </c>
    </row>
    <row r="455" spans="1:8" x14ac:dyDescent="0.25">
      <c r="A455" s="1">
        <v>454</v>
      </c>
      <c r="B455" s="42">
        <v>46296</v>
      </c>
      <c r="C455" s="46">
        <v>0.84855324074074079</v>
      </c>
      <c r="D455" s="1" t="s">
        <v>742</v>
      </c>
      <c r="E455" s="47">
        <v>32000</v>
      </c>
      <c r="F455" s="1" t="s">
        <v>58</v>
      </c>
      <c r="G455" s="1" t="s">
        <v>155</v>
      </c>
      <c r="H455" s="48">
        <v>0</v>
      </c>
    </row>
    <row r="456" spans="1:8" x14ac:dyDescent="0.25">
      <c r="A456" s="1">
        <v>455</v>
      </c>
      <c r="B456" s="42">
        <v>46296</v>
      </c>
      <c r="C456" s="46">
        <v>0.84932870370370372</v>
      </c>
      <c r="D456" s="1" t="s">
        <v>202</v>
      </c>
      <c r="E456" s="47">
        <v>20600</v>
      </c>
      <c r="F456" s="1" t="s">
        <v>58</v>
      </c>
      <c r="G456" s="1" t="s">
        <v>155</v>
      </c>
      <c r="H456" s="48">
        <v>0</v>
      </c>
    </row>
    <row r="457" spans="1:8" x14ac:dyDescent="0.25">
      <c r="A457" s="1">
        <v>456</v>
      </c>
      <c r="B457" s="42">
        <v>46296</v>
      </c>
      <c r="C457" s="46">
        <v>0.8971527777777778</v>
      </c>
      <c r="D457" s="1" t="s">
        <v>232</v>
      </c>
      <c r="E457" s="47">
        <v>10000</v>
      </c>
      <c r="F457" s="1" t="s">
        <v>154</v>
      </c>
      <c r="G457" s="1" t="s">
        <v>155</v>
      </c>
      <c r="H457" s="48">
        <v>0</v>
      </c>
    </row>
    <row r="458" spans="1:8" x14ac:dyDescent="0.25">
      <c r="A458" s="1">
        <v>457</v>
      </c>
      <c r="B458" s="42">
        <v>46296</v>
      </c>
      <c r="C458" s="46">
        <v>0.89886574074074077</v>
      </c>
      <c r="D458" s="1" t="s">
        <v>744</v>
      </c>
      <c r="E458" s="47">
        <v>13000</v>
      </c>
      <c r="F458" s="1" t="s">
        <v>58</v>
      </c>
      <c r="G458" s="1" t="s">
        <v>155</v>
      </c>
      <c r="H458" s="48">
        <v>0</v>
      </c>
    </row>
    <row r="459" spans="1:8" x14ac:dyDescent="0.25">
      <c r="A459" s="1">
        <v>458</v>
      </c>
      <c r="B459" s="42">
        <v>46296</v>
      </c>
      <c r="C459" s="46">
        <v>0.90313657407407411</v>
      </c>
      <c r="D459" s="1" t="s">
        <v>743</v>
      </c>
      <c r="E459" s="47">
        <v>18000</v>
      </c>
      <c r="F459" s="1" t="s">
        <v>58</v>
      </c>
      <c r="G459" s="1" t="s">
        <v>155</v>
      </c>
      <c r="H459" s="48">
        <v>0</v>
      </c>
    </row>
    <row r="460" spans="1:8" x14ac:dyDescent="0.25">
      <c r="A460" s="1">
        <v>459</v>
      </c>
      <c r="B460" s="42">
        <v>46297</v>
      </c>
      <c r="C460" s="46">
        <v>0.38233796296296296</v>
      </c>
      <c r="D460" s="1" t="s">
        <v>232</v>
      </c>
      <c r="E460" s="47">
        <v>16000</v>
      </c>
      <c r="F460" s="1" t="s">
        <v>154</v>
      </c>
      <c r="G460" s="1" t="s">
        <v>155</v>
      </c>
      <c r="H460" s="48">
        <v>0</v>
      </c>
    </row>
    <row r="461" spans="1:8" x14ac:dyDescent="0.25">
      <c r="A461" s="1">
        <v>460</v>
      </c>
      <c r="B461" s="42">
        <v>46297</v>
      </c>
      <c r="C461" s="46">
        <v>0.38244212962962965</v>
      </c>
      <c r="D461" s="1" t="s">
        <v>43</v>
      </c>
      <c r="E461" s="47">
        <v>6000</v>
      </c>
      <c r="F461" s="1" t="s">
        <v>154</v>
      </c>
      <c r="G461" s="1" t="s">
        <v>155</v>
      </c>
      <c r="H461" s="48">
        <v>0</v>
      </c>
    </row>
    <row r="462" spans="1:8" x14ac:dyDescent="0.25">
      <c r="A462" s="1">
        <v>461</v>
      </c>
      <c r="B462" s="42">
        <v>46297</v>
      </c>
      <c r="C462" s="46">
        <v>0.38274305555555554</v>
      </c>
      <c r="D462" s="1" t="s">
        <v>43</v>
      </c>
      <c r="E462" s="47">
        <v>29000</v>
      </c>
      <c r="F462" s="1" t="s">
        <v>154</v>
      </c>
      <c r="G462" s="1" t="s">
        <v>155</v>
      </c>
      <c r="H462" s="48">
        <v>0</v>
      </c>
    </row>
    <row r="463" spans="1:8" x14ac:dyDescent="0.25">
      <c r="A463" s="1">
        <v>462</v>
      </c>
      <c r="B463" s="42">
        <v>46297</v>
      </c>
      <c r="C463" s="46">
        <v>0.57336805555555559</v>
      </c>
      <c r="D463" s="1" t="s">
        <v>615</v>
      </c>
      <c r="E463" s="47">
        <v>54000</v>
      </c>
      <c r="F463" s="1" t="s">
        <v>58</v>
      </c>
      <c r="G463" s="1" t="s">
        <v>155</v>
      </c>
      <c r="H463" s="48">
        <v>0</v>
      </c>
    </row>
    <row r="464" spans="1:8" x14ac:dyDescent="0.25">
      <c r="A464" s="1">
        <v>463</v>
      </c>
      <c r="B464" s="42">
        <v>46297</v>
      </c>
      <c r="C464" s="46">
        <v>0.57363425925925926</v>
      </c>
      <c r="D464" s="1" t="s">
        <v>621</v>
      </c>
      <c r="E464" s="47">
        <v>31000</v>
      </c>
      <c r="F464" s="1" t="s">
        <v>154</v>
      </c>
      <c r="G464" s="1" t="s">
        <v>155</v>
      </c>
      <c r="H464" s="48">
        <v>0</v>
      </c>
    </row>
    <row r="465" spans="1:8" x14ac:dyDescent="0.25">
      <c r="A465" s="1">
        <v>464</v>
      </c>
      <c r="B465" s="42">
        <v>46297</v>
      </c>
      <c r="C465" s="46">
        <v>0.57378472222222221</v>
      </c>
      <c r="D465" s="1" t="s">
        <v>616</v>
      </c>
      <c r="E465" s="47">
        <v>13000</v>
      </c>
      <c r="F465" s="1" t="s">
        <v>58</v>
      </c>
      <c r="G465" s="1" t="s">
        <v>155</v>
      </c>
      <c r="H465" s="48">
        <v>0</v>
      </c>
    </row>
    <row r="466" spans="1:8" x14ac:dyDescent="0.25">
      <c r="A466" s="1">
        <v>465</v>
      </c>
      <c r="B466" s="42">
        <v>46297</v>
      </c>
      <c r="C466" s="46">
        <v>0.57396990740740739</v>
      </c>
      <c r="D466" s="1" t="s">
        <v>620</v>
      </c>
      <c r="E466" s="47">
        <v>40000</v>
      </c>
      <c r="F466" s="1" t="s">
        <v>58</v>
      </c>
      <c r="G466" s="1" t="s">
        <v>155</v>
      </c>
      <c r="H466" s="48">
        <v>0</v>
      </c>
    </row>
    <row r="467" spans="1:8" x14ac:dyDescent="0.25">
      <c r="A467" s="1">
        <v>466</v>
      </c>
      <c r="B467" s="42">
        <v>46297</v>
      </c>
      <c r="C467" s="46">
        <v>0.57409722222222226</v>
      </c>
      <c r="D467" s="1" t="s">
        <v>617</v>
      </c>
      <c r="E467" s="47">
        <v>6000</v>
      </c>
      <c r="F467" s="1" t="s">
        <v>58</v>
      </c>
      <c r="G467" s="1" t="s">
        <v>155</v>
      </c>
      <c r="H467" s="48">
        <v>0</v>
      </c>
    </row>
    <row r="468" spans="1:8" x14ac:dyDescent="0.25">
      <c r="A468" s="1">
        <v>467</v>
      </c>
      <c r="B468" s="42">
        <v>46297</v>
      </c>
      <c r="C468" s="46">
        <v>0.57425925925925925</v>
      </c>
      <c r="D468" s="1" t="s">
        <v>619</v>
      </c>
      <c r="E468" s="47">
        <v>6000</v>
      </c>
      <c r="F468" s="1" t="s">
        <v>58</v>
      </c>
      <c r="G468" s="1" t="s">
        <v>155</v>
      </c>
      <c r="H468" s="48">
        <v>0</v>
      </c>
    </row>
    <row r="469" spans="1:8" x14ac:dyDescent="0.25">
      <c r="A469" s="1">
        <v>468</v>
      </c>
      <c r="B469" s="42">
        <v>46297</v>
      </c>
      <c r="C469" s="46">
        <v>0.77217592592592588</v>
      </c>
      <c r="D469" s="1" t="s">
        <v>42</v>
      </c>
      <c r="E469" s="47">
        <v>36000</v>
      </c>
      <c r="F469" s="1" t="s">
        <v>154</v>
      </c>
      <c r="G469" s="1" t="s">
        <v>155</v>
      </c>
      <c r="H469" s="48">
        <v>0</v>
      </c>
    </row>
    <row r="470" spans="1:8" x14ac:dyDescent="0.25">
      <c r="A470" s="1">
        <v>469</v>
      </c>
      <c r="B470" s="42">
        <v>46297</v>
      </c>
      <c r="C470" s="46">
        <v>0.80268518518518517</v>
      </c>
      <c r="D470" s="1" t="s">
        <v>168</v>
      </c>
      <c r="E470" s="47">
        <v>23000</v>
      </c>
      <c r="F470" s="1" t="s">
        <v>58</v>
      </c>
      <c r="G470" s="1" t="s">
        <v>155</v>
      </c>
      <c r="H470" s="48">
        <v>0</v>
      </c>
    </row>
    <row r="471" spans="1:8" x14ac:dyDescent="0.25">
      <c r="A471" s="1">
        <v>470</v>
      </c>
      <c r="B471" s="42">
        <v>46297</v>
      </c>
      <c r="C471" s="46">
        <v>0.80278935185185185</v>
      </c>
      <c r="D471" s="1" t="s">
        <v>234</v>
      </c>
      <c r="E471" s="47">
        <v>27000</v>
      </c>
      <c r="F471" s="1" t="s">
        <v>58</v>
      </c>
      <c r="G471" s="1" t="s">
        <v>155</v>
      </c>
      <c r="H471" s="48">
        <v>0</v>
      </c>
    </row>
    <row r="472" spans="1:8" x14ac:dyDescent="0.25">
      <c r="A472" s="1">
        <v>471</v>
      </c>
      <c r="B472" s="42">
        <v>46297</v>
      </c>
      <c r="C472" s="46">
        <v>0.80453703703703705</v>
      </c>
      <c r="D472" s="1" t="s">
        <v>797</v>
      </c>
      <c r="E472" s="47">
        <v>28000</v>
      </c>
      <c r="F472" s="1" t="s">
        <v>154</v>
      </c>
      <c r="G472" s="1" t="s">
        <v>155</v>
      </c>
      <c r="H472" s="48">
        <v>0</v>
      </c>
    </row>
    <row r="473" spans="1:8" x14ac:dyDescent="0.25">
      <c r="A473" s="1">
        <v>472</v>
      </c>
      <c r="B473" s="42">
        <v>46297</v>
      </c>
      <c r="C473" s="46">
        <v>0.8168171296296296</v>
      </c>
      <c r="D473" s="1" t="s">
        <v>798</v>
      </c>
      <c r="E473" s="47">
        <v>51000</v>
      </c>
      <c r="F473" s="1" t="s">
        <v>154</v>
      </c>
      <c r="G473" s="1" t="s">
        <v>155</v>
      </c>
      <c r="H473" s="48">
        <v>0</v>
      </c>
    </row>
    <row r="474" spans="1:8" x14ac:dyDescent="0.25">
      <c r="A474" s="1">
        <v>473</v>
      </c>
      <c r="B474" s="42">
        <v>46297</v>
      </c>
      <c r="C474" s="46">
        <v>0.82524305555555555</v>
      </c>
      <c r="D474" s="1" t="s">
        <v>503</v>
      </c>
      <c r="E474" s="47">
        <v>48000</v>
      </c>
      <c r="F474" s="1" t="s">
        <v>58</v>
      </c>
      <c r="G474" s="1" t="s">
        <v>155</v>
      </c>
      <c r="H474" s="48">
        <v>0</v>
      </c>
    </row>
    <row r="475" spans="1:8" x14ac:dyDescent="0.25">
      <c r="A475" s="1">
        <v>474</v>
      </c>
      <c r="B475" s="42">
        <v>46297</v>
      </c>
      <c r="C475" s="46">
        <v>0.83332175925925922</v>
      </c>
      <c r="D475" s="1" t="s">
        <v>429</v>
      </c>
      <c r="E475" s="47">
        <v>10000</v>
      </c>
      <c r="F475" s="1" t="s">
        <v>58</v>
      </c>
      <c r="G475" s="1" t="s">
        <v>155</v>
      </c>
      <c r="H475" s="48">
        <v>0</v>
      </c>
    </row>
    <row r="476" spans="1:8" x14ac:dyDescent="0.25">
      <c r="A476" s="1">
        <v>475</v>
      </c>
      <c r="B476" s="42">
        <v>46297</v>
      </c>
      <c r="C476" s="46">
        <v>0.89915509259259263</v>
      </c>
      <c r="D476" s="1" t="s">
        <v>799</v>
      </c>
      <c r="E476" s="47">
        <v>4000</v>
      </c>
      <c r="F476" s="1" t="s">
        <v>58</v>
      </c>
      <c r="G476" s="1" t="s">
        <v>155</v>
      </c>
      <c r="H476" s="48">
        <v>0</v>
      </c>
    </row>
    <row r="477" spans="1:8" x14ac:dyDescent="0.25">
      <c r="A477" s="1">
        <v>476</v>
      </c>
      <c r="B477" s="42">
        <v>46297</v>
      </c>
      <c r="C477" s="46">
        <v>0.90032407407407411</v>
      </c>
      <c r="D477" s="1" t="s">
        <v>800</v>
      </c>
      <c r="E477" s="47">
        <v>7000</v>
      </c>
      <c r="F477" s="1" t="s">
        <v>154</v>
      </c>
      <c r="G477" s="1" t="s">
        <v>155</v>
      </c>
      <c r="H477" s="48">
        <v>0</v>
      </c>
    </row>
    <row r="478" spans="1:8" x14ac:dyDescent="0.25">
      <c r="A478" s="1">
        <v>477</v>
      </c>
      <c r="B478" s="42">
        <v>46297</v>
      </c>
      <c r="C478" s="46">
        <v>0.90047453703703706</v>
      </c>
      <c r="D478" s="1" t="s">
        <v>626</v>
      </c>
      <c r="E478" s="47">
        <v>6000</v>
      </c>
      <c r="F478" s="1" t="s">
        <v>154</v>
      </c>
      <c r="G478" s="1" t="s">
        <v>155</v>
      </c>
      <c r="H478" s="48">
        <v>0</v>
      </c>
    </row>
    <row r="479" spans="1:8" x14ac:dyDescent="0.25">
      <c r="A479" s="1">
        <v>478</v>
      </c>
      <c r="B479" s="42">
        <v>46297</v>
      </c>
      <c r="C479" s="46">
        <v>0.90528935185185189</v>
      </c>
      <c r="D479" s="1" t="s">
        <v>216</v>
      </c>
      <c r="E479" s="47">
        <v>6000</v>
      </c>
      <c r="F479" s="1" t="s">
        <v>58</v>
      </c>
      <c r="G479" s="1" t="s">
        <v>155</v>
      </c>
      <c r="H479" s="48">
        <v>0</v>
      </c>
    </row>
    <row r="480" spans="1:8" x14ac:dyDescent="0.25">
      <c r="A480" s="1">
        <v>479</v>
      </c>
      <c r="B480" s="42">
        <v>46298</v>
      </c>
      <c r="C480" s="46">
        <v>0.72040509259259256</v>
      </c>
      <c r="D480" s="1" t="s">
        <v>178</v>
      </c>
      <c r="E480" s="47">
        <v>19000</v>
      </c>
      <c r="F480" s="1" t="s">
        <v>154</v>
      </c>
      <c r="G480" s="1" t="s">
        <v>155</v>
      </c>
      <c r="H480" s="48">
        <v>0</v>
      </c>
    </row>
    <row r="481" spans="1:8" x14ac:dyDescent="0.25">
      <c r="A481" s="1">
        <v>480</v>
      </c>
      <c r="B481" s="42">
        <v>46298</v>
      </c>
      <c r="C481" s="46">
        <v>0.72057870370370369</v>
      </c>
      <c r="D481" s="1" t="s">
        <v>43</v>
      </c>
      <c r="E481" s="47">
        <v>16000</v>
      </c>
      <c r="F481" s="1" t="s">
        <v>154</v>
      </c>
      <c r="G481" s="1" t="s">
        <v>155</v>
      </c>
      <c r="H481" s="48">
        <v>0</v>
      </c>
    </row>
    <row r="482" spans="1:8" x14ac:dyDescent="0.25">
      <c r="A482" s="1">
        <v>481</v>
      </c>
      <c r="B482" s="42">
        <v>46298</v>
      </c>
      <c r="C482" s="46">
        <v>0.7292939814814815</v>
      </c>
      <c r="D482" s="1" t="s">
        <v>503</v>
      </c>
      <c r="E482" s="47">
        <v>10000</v>
      </c>
      <c r="F482" s="1" t="s">
        <v>58</v>
      </c>
      <c r="G482" s="1" t="s">
        <v>155</v>
      </c>
      <c r="H482" s="48">
        <v>0</v>
      </c>
    </row>
    <row r="483" spans="1:8" x14ac:dyDescent="0.25">
      <c r="A483" s="1">
        <v>482</v>
      </c>
      <c r="B483" s="42">
        <v>46298</v>
      </c>
      <c r="C483" s="46">
        <v>0.73247685185185185</v>
      </c>
      <c r="D483" s="1" t="s">
        <v>231</v>
      </c>
      <c r="E483" s="47">
        <v>3000</v>
      </c>
      <c r="F483" s="1" t="s">
        <v>58</v>
      </c>
      <c r="G483" s="1" t="s">
        <v>155</v>
      </c>
      <c r="H483" s="48">
        <v>0</v>
      </c>
    </row>
    <row r="484" spans="1:8" x14ac:dyDescent="0.25">
      <c r="A484" s="1">
        <v>483</v>
      </c>
      <c r="B484" s="42">
        <v>46298</v>
      </c>
      <c r="C484" s="46">
        <v>0.7602430555555556</v>
      </c>
      <c r="D484" s="1" t="s">
        <v>42</v>
      </c>
      <c r="E484" s="47">
        <v>32000</v>
      </c>
      <c r="F484" s="1" t="s">
        <v>154</v>
      </c>
      <c r="G484" s="1" t="s">
        <v>155</v>
      </c>
      <c r="H484" s="48">
        <v>0</v>
      </c>
    </row>
    <row r="485" spans="1:8" x14ac:dyDescent="0.25">
      <c r="A485" s="1">
        <v>484</v>
      </c>
      <c r="B485" s="50">
        <v>46298</v>
      </c>
      <c r="C485" s="46">
        <v>0.89870370370370367</v>
      </c>
      <c r="D485" s="1" t="s">
        <v>134</v>
      </c>
      <c r="E485" s="47">
        <v>32000</v>
      </c>
      <c r="F485" s="1" t="s">
        <v>58</v>
      </c>
      <c r="G485" s="1" t="s">
        <v>155</v>
      </c>
      <c r="H485" s="48">
        <v>0</v>
      </c>
    </row>
    <row r="486" spans="1:8" x14ac:dyDescent="0.25">
      <c r="A486" s="1">
        <v>485</v>
      </c>
      <c r="B486" s="50">
        <v>46298</v>
      </c>
      <c r="C486" s="46">
        <v>0.9038194444444444</v>
      </c>
      <c r="D486" s="1" t="s">
        <v>463</v>
      </c>
      <c r="E486" s="47">
        <v>28000</v>
      </c>
      <c r="F486" s="1" t="s">
        <v>154</v>
      </c>
      <c r="G486" s="1" t="s">
        <v>155</v>
      </c>
      <c r="H486" s="48">
        <v>0</v>
      </c>
    </row>
    <row r="487" spans="1:8" x14ac:dyDescent="0.25">
      <c r="A487" s="1">
        <v>486</v>
      </c>
      <c r="B487" s="50">
        <v>46298</v>
      </c>
      <c r="C487" s="46">
        <v>0.9272569444444444</v>
      </c>
      <c r="D487" s="1" t="s">
        <v>441</v>
      </c>
      <c r="E487" s="47">
        <v>20000</v>
      </c>
      <c r="F487" s="1" t="s">
        <v>58</v>
      </c>
      <c r="G487" s="1" t="s">
        <v>155</v>
      </c>
      <c r="H487" s="48">
        <v>0</v>
      </c>
    </row>
    <row r="488" spans="1:8" x14ac:dyDescent="0.25">
      <c r="A488" s="1">
        <v>487</v>
      </c>
      <c r="B488" s="50">
        <v>46298</v>
      </c>
      <c r="C488" s="46">
        <v>0.93215277777777783</v>
      </c>
      <c r="D488" s="1" t="s">
        <v>134</v>
      </c>
      <c r="E488" s="47">
        <v>14000</v>
      </c>
      <c r="F488" s="1" t="s">
        <v>58</v>
      </c>
      <c r="G488" s="1" t="s">
        <v>155</v>
      </c>
      <c r="H488" s="48">
        <v>0</v>
      </c>
    </row>
    <row r="489" spans="1:8" x14ac:dyDescent="0.25">
      <c r="A489" s="1">
        <v>488</v>
      </c>
      <c r="B489" s="50">
        <v>46298</v>
      </c>
      <c r="C489" s="46">
        <v>0.93425925925925923</v>
      </c>
      <c r="D489" s="1" t="s">
        <v>255</v>
      </c>
      <c r="E489" s="47">
        <v>6000</v>
      </c>
      <c r="F489" s="1" t="s">
        <v>58</v>
      </c>
      <c r="G489" s="1" t="s">
        <v>155</v>
      </c>
      <c r="H489" s="48">
        <v>0</v>
      </c>
    </row>
    <row r="490" spans="1:8" x14ac:dyDescent="0.25">
      <c r="A490" s="1">
        <v>489</v>
      </c>
      <c r="B490" s="50">
        <v>46299</v>
      </c>
      <c r="C490" s="46">
        <v>0.68425925925925923</v>
      </c>
      <c r="D490" s="1" t="s">
        <v>174</v>
      </c>
      <c r="E490" s="47">
        <v>18000</v>
      </c>
      <c r="F490" s="1" t="s">
        <v>58</v>
      </c>
      <c r="G490" s="1" t="s">
        <v>155</v>
      </c>
      <c r="H490" s="48">
        <v>0</v>
      </c>
    </row>
    <row r="491" spans="1:8" x14ac:dyDescent="0.25">
      <c r="A491" s="1">
        <v>490</v>
      </c>
      <c r="B491" s="50">
        <v>46299</v>
      </c>
      <c r="C491" s="46">
        <v>0.68425925925925923</v>
      </c>
      <c r="D491" s="1" t="s">
        <v>134</v>
      </c>
      <c r="E491" s="47">
        <v>14000</v>
      </c>
      <c r="F491" s="1" t="s">
        <v>58</v>
      </c>
      <c r="G491" s="1" t="s">
        <v>155</v>
      </c>
      <c r="H491" s="48">
        <v>0</v>
      </c>
    </row>
    <row r="492" spans="1:8" x14ac:dyDescent="0.25">
      <c r="A492" s="1">
        <v>491</v>
      </c>
      <c r="B492" s="50">
        <v>46299</v>
      </c>
      <c r="C492" s="46">
        <v>0.68425925925925923</v>
      </c>
      <c r="D492" s="1" t="s">
        <v>134</v>
      </c>
      <c r="E492" s="47">
        <v>26000</v>
      </c>
      <c r="F492" s="1" t="s">
        <v>58</v>
      </c>
      <c r="G492" s="1" t="s">
        <v>155</v>
      </c>
      <c r="H492" s="48">
        <v>0</v>
      </c>
    </row>
    <row r="493" spans="1:8" x14ac:dyDescent="0.25">
      <c r="A493" s="1">
        <v>492</v>
      </c>
      <c r="B493" s="50">
        <v>46299</v>
      </c>
      <c r="C493" s="46">
        <v>0.68425925925925923</v>
      </c>
      <c r="D493" s="1" t="s">
        <v>134</v>
      </c>
      <c r="E493" s="47">
        <v>18000</v>
      </c>
      <c r="F493" s="1" t="s">
        <v>154</v>
      </c>
      <c r="G493" s="1" t="s">
        <v>155</v>
      </c>
      <c r="H493" s="48">
        <v>0</v>
      </c>
    </row>
    <row r="494" spans="1:8" ht="30" x14ac:dyDescent="0.25">
      <c r="A494" s="1">
        <v>493</v>
      </c>
      <c r="B494" s="50">
        <v>46299</v>
      </c>
      <c r="C494" s="46">
        <v>0.68425925925925923</v>
      </c>
      <c r="D494" s="1" t="s">
        <v>503</v>
      </c>
      <c r="E494" s="47">
        <v>26800</v>
      </c>
      <c r="F494" s="1" t="s">
        <v>887</v>
      </c>
      <c r="G494" s="1" t="s">
        <v>155</v>
      </c>
      <c r="H494" s="48">
        <v>0</v>
      </c>
    </row>
    <row r="495" spans="1:8" x14ac:dyDescent="0.25">
      <c r="A495" s="1">
        <v>494</v>
      </c>
      <c r="B495" s="50">
        <v>46299</v>
      </c>
      <c r="C495" s="46">
        <v>0.68425925925925923</v>
      </c>
      <c r="D495" s="1" t="s">
        <v>166</v>
      </c>
      <c r="E495" s="47">
        <v>6000</v>
      </c>
      <c r="F495" s="1" t="s">
        <v>58</v>
      </c>
      <c r="G495" s="1" t="s">
        <v>155</v>
      </c>
      <c r="H495" s="48">
        <v>0</v>
      </c>
    </row>
    <row r="496" spans="1:8" x14ac:dyDescent="0.25">
      <c r="A496" s="1">
        <v>495</v>
      </c>
      <c r="B496" s="50">
        <v>46300</v>
      </c>
      <c r="C496" s="46">
        <v>0.65082175925925922</v>
      </c>
      <c r="D496" s="1" t="s">
        <v>178</v>
      </c>
      <c r="E496" s="47">
        <v>3000</v>
      </c>
      <c r="F496" s="1" t="s">
        <v>58</v>
      </c>
      <c r="G496" s="1" t="s">
        <v>155</v>
      </c>
      <c r="H496" s="48">
        <v>0</v>
      </c>
    </row>
    <row r="497" spans="1:8" x14ac:dyDescent="0.25">
      <c r="A497" s="1">
        <v>496</v>
      </c>
      <c r="B497" s="50">
        <v>46300</v>
      </c>
      <c r="C497" s="46">
        <v>0.65114583333333331</v>
      </c>
      <c r="D497" s="1" t="s">
        <v>177</v>
      </c>
      <c r="E497" s="47">
        <v>10000</v>
      </c>
      <c r="F497" s="1" t="s">
        <v>58</v>
      </c>
      <c r="G497" s="1" t="s">
        <v>155</v>
      </c>
      <c r="H497" s="48">
        <v>0</v>
      </c>
    </row>
    <row r="498" spans="1:8" x14ac:dyDescent="0.25">
      <c r="A498" s="1">
        <v>497</v>
      </c>
      <c r="B498" s="50">
        <v>46302</v>
      </c>
      <c r="C498" s="46">
        <v>0.65172453703703703</v>
      </c>
      <c r="D498" s="1" t="s">
        <v>228</v>
      </c>
      <c r="E498" s="47">
        <v>39000</v>
      </c>
      <c r="F498" s="1" t="s">
        <v>154</v>
      </c>
      <c r="G498" s="1" t="s">
        <v>155</v>
      </c>
      <c r="H498" s="48">
        <v>0</v>
      </c>
    </row>
    <row r="499" spans="1:8" x14ac:dyDescent="0.25">
      <c r="A499" s="1">
        <v>498</v>
      </c>
      <c r="B499" s="50">
        <v>46302</v>
      </c>
      <c r="C499" s="46">
        <v>0.65765046296296292</v>
      </c>
      <c r="D499" s="1" t="s">
        <v>45</v>
      </c>
      <c r="E499" s="47">
        <v>9000</v>
      </c>
      <c r="F499" s="1" t="s">
        <v>154</v>
      </c>
      <c r="G499" s="1" t="s">
        <v>155</v>
      </c>
      <c r="H499" s="48">
        <v>0</v>
      </c>
    </row>
    <row r="500" spans="1:8" x14ac:dyDescent="0.25">
      <c r="A500" s="1">
        <v>499</v>
      </c>
      <c r="B500" s="50">
        <v>46302</v>
      </c>
      <c r="C500" s="46">
        <v>0.70690972222222226</v>
      </c>
      <c r="D500" s="1" t="s">
        <v>43</v>
      </c>
      <c r="E500" s="47">
        <v>30000</v>
      </c>
      <c r="F500" s="1" t="s">
        <v>154</v>
      </c>
      <c r="G500" s="1" t="s">
        <v>155</v>
      </c>
      <c r="H500" s="48">
        <v>0</v>
      </c>
    </row>
    <row r="501" spans="1:8" x14ac:dyDescent="0.25">
      <c r="A501" s="1">
        <v>500</v>
      </c>
      <c r="B501" s="50">
        <v>46302</v>
      </c>
      <c r="C501" s="46">
        <v>0.72819444444444448</v>
      </c>
      <c r="D501" s="1" t="s">
        <v>46</v>
      </c>
      <c r="E501" s="47">
        <v>4000</v>
      </c>
      <c r="F501" s="1" t="s">
        <v>154</v>
      </c>
      <c r="G501" s="1" t="s">
        <v>155</v>
      </c>
      <c r="H501" s="48">
        <v>0</v>
      </c>
    </row>
    <row r="502" spans="1:8" x14ac:dyDescent="0.25">
      <c r="A502" s="1">
        <v>501</v>
      </c>
      <c r="B502" s="50">
        <v>46302</v>
      </c>
      <c r="C502" s="46">
        <v>0.73214120370370372</v>
      </c>
      <c r="D502" s="1" t="s">
        <v>200</v>
      </c>
      <c r="E502" s="47">
        <v>45000</v>
      </c>
      <c r="F502" s="1" t="s">
        <v>162</v>
      </c>
      <c r="G502" s="1" t="s">
        <v>163</v>
      </c>
      <c r="H502" s="48">
        <v>41000</v>
      </c>
    </row>
    <row r="503" spans="1:8" x14ac:dyDescent="0.25">
      <c r="A503" s="1">
        <v>502</v>
      </c>
      <c r="B503" s="50">
        <v>46302</v>
      </c>
      <c r="C503" s="46">
        <v>0.73243055555555558</v>
      </c>
      <c r="D503" s="1" t="s">
        <v>838</v>
      </c>
      <c r="E503" s="47">
        <v>6000</v>
      </c>
      <c r="F503" s="1" t="s">
        <v>162</v>
      </c>
      <c r="G503" s="1" t="s">
        <v>163</v>
      </c>
      <c r="H503" s="48">
        <v>6000</v>
      </c>
    </row>
    <row r="504" spans="1:8" x14ac:dyDescent="0.25">
      <c r="A504" s="1">
        <v>503</v>
      </c>
      <c r="B504" s="50">
        <v>46302</v>
      </c>
      <c r="C504" s="46">
        <v>0.73354166666666665</v>
      </c>
      <c r="D504" s="1" t="s">
        <v>839</v>
      </c>
      <c r="E504" s="47">
        <v>49000</v>
      </c>
      <c r="F504" s="1" t="s">
        <v>162</v>
      </c>
      <c r="G504" s="1" t="s">
        <v>163</v>
      </c>
      <c r="H504" s="48">
        <v>49000</v>
      </c>
    </row>
    <row r="505" spans="1:8" x14ac:dyDescent="0.25">
      <c r="A505" s="1">
        <v>504</v>
      </c>
      <c r="B505" s="50">
        <v>46302</v>
      </c>
      <c r="C505" s="46">
        <v>0.73512731481481486</v>
      </c>
      <c r="D505" s="1" t="s">
        <v>730</v>
      </c>
      <c r="E505" s="47">
        <v>16200</v>
      </c>
      <c r="F505" s="1" t="s">
        <v>162</v>
      </c>
      <c r="G505" s="1" t="s">
        <v>163</v>
      </c>
      <c r="H505" s="48">
        <v>16200</v>
      </c>
    </row>
    <row r="506" spans="1:8" ht="30" x14ac:dyDescent="0.25">
      <c r="A506" s="1">
        <v>505</v>
      </c>
      <c r="B506" s="50">
        <v>46302</v>
      </c>
      <c r="C506" s="46">
        <v>0.73633101851851857</v>
      </c>
      <c r="D506" s="1" t="s">
        <v>203</v>
      </c>
      <c r="E506" s="47">
        <v>32000</v>
      </c>
      <c r="F506" s="1" t="s">
        <v>154</v>
      </c>
      <c r="G506" s="1" t="s">
        <v>155</v>
      </c>
      <c r="H506" s="48">
        <v>0</v>
      </c>
    </row>
    <row r="507" spans="1:8" x14ac:dyDescent="0.25">
      <c r="A507" s="1">
        <v>506</v>
      </c>
      <c r="B507" s="50">
        <v>46302</v>
      </c>
      <c r="C507" s="46">
        <v>0.74516203703703698</v>
      </c>
      <c r="D507" s="1" t="s">
        <v>612</v>
      </c>
      <c r="E507" s="47">
        <v>52000</v>
      </c>
      <c r="F507" s="1" t="s">
        <v>58</v>
      </c>
      <c r="G507" s="1" t="s">
        <v>155</v>
      </c>
      <c r="H507" s="48">
        <v>0</v>
      </c>
    </row>
    <row r="508" spans="1:8" x14ac:dyDescent="0.25">
      <c r="A508" s="1">
        <v>507</v>
      </c>
      <c r="B508" s="50">
        <v>46302</v>
      </c>
      <c r="C508" s="46">
        <v>0.74884259259259256</v>
      </c>
      <c r="D508" s="1" t="s">
        <v>840</v>
      </c>
      <c r="E508" s="47">
        <v>3000</v>
      </c>
      <c r="F508" s="1" t="s">
        <v>58</v>
      </c>
      <c r="G508" s="1" t="s">
        <v>155</v>
      </c>
      <c r="H508" s="48">
        <v>0</v>
      </c>
    </row>
    <row r="509" spans="1:8" x14ac:dyDescent="0.25">
      <c r="A509" s="1">
        <v>508</v>
      </c>
      <c r="B509" s="50">
        <v>46302</v>
      </c>
      <c r="C509" s="46">
        <v>0.75430555555555556</v>
      </c>
      <c r="D509" s="1" t="s">
        <v>134</v>
      </c>
      <c r="E509" s="47">
        <v>9000</v>
      </c>
      <c r="F509" s="1" t="s">
        <v>58</v>
      </c>
      <c r="G509" s="1" t="s">
        <v>155</v>
      </c>
      <c r="H509" s="48">
        <v>0</v>
      </c>
    </row>
    <row r="510" spans="1:8" x14ac:dyDescent="0.25">
      <c r="A510" s="1">
        <v>509</v>
      </c>
      <c r="B510" s="50">
        <v>46302</v>
      </c>
      <c r="C510" s="46">
        <v>0.76253472222222218</v>
      </c>
      <c r="D510" s="1" t="s">
        <v>134</v>
      </c>
      <c r="E510" s="47">
        <v>10000</v>
      </c>
      <c r="F510" s="1" t="s">
        <v>58</v>
      </c>
      <c r="G510" s="1" t="s">
        <v>155</v>
      </c>
      <c r="H510" s="48">
        <v>0</v>
      </c>
    </row>
    <row r="511" spans="1:8" x14ac:dyDescent="0.25">
      <c r="A511" s="1">
        <v>510</v>
      </c>
      <c r="B511" s="50">
        <v>46302</v>
      </c>
      <c r="C511" s="46">
        <v>0.76820601851851855</v>
      </c>
      <c r="D511" s="1" t="s">
        <v>178</v>
      </c>
      <c r="E511" s="47">
        <v>19000</v>
      </c>
      <c r="F511" s="1" t="s">
        <v>58</v>
      </c>
      <c r="G511" s="1" t="s">
        <v>155</v>
      </c>
      <c r="H511" s="48">
        <v>0</v>
      </c>
    </row>
    <row r="512" spans="1:8" x14ac:dyDescent="0.25">
      <c r="A512" s="1">
        <v>511</v>
      </c>
      <c r="B512" s="50">
        <v>46302</v>
      </c>
      <c r="C512" s="46">
        <v>0.77505787037037033</v>
      </c>
      <c r="D512" s="1" t="s">
        <v>42</v>
      </c>
      <c r="E512" s="47">
        <v>34000</v>
      </c>
      <c r="F512" s="1" t="s">
        <v>162</v>
      </c>
      <c r="G512" s="1" t="s">
        <v>163</v>
      </c>
      <c r="H512" s="48">
        <v>15000</v>
      </c>
    </row>
    <row r="513" spans="1:8" x14ac:dyDescent="0.25">
      <c r="A513" s="1">
        <v>512</v>
      </c>
      <c r="B513" s="50">
        <v>46302</v>
      </c>
      <c r="C513" s="46">
        <v>0.77545138888888887</v>
      </c>
      <c r="D513" s="1" t="s">
        <v>201</v>
      </c>
      <c r="E513" s="47">
        <v>13000</v>
      </c>
      <c r="F513" s="1" t="s">
        <v>154</v>
      </c>
      <c r="G513" s="1" t="s">
        <v>155</v>
      </c>
      <c r="H513" s="48">
        <v>0</v>
      </c>
    </row>
    <row r="514" spans="1:8" x14ac:dyDescent="0.25">
      <c r="A514" s="1">
        <v>513</v>
      </c>
      <c r="B514" s="50">
        <v>46302</v>
      </c>
      <c r="C514" s="46">
        <v>0.78631944444444446</v>
      </c>
      <c r="D514" s="1" t="s">
        <v>134</v>
      </c>
      <c r="E514" s="47">
        <v>12000</v>
      </c>
      <c r="F514" s="1" t="s">
        <v>58</v>
      </c>
      <c r="G514" s="1" t="s">
        <v>155</v>
      </c>
      <c r="H514" s="48">
        <v>0</v>
      </c>
    </row>
    <row r="515" spans="1:8" x14ac:dyDescent="0.25">
      <c r="A515" s="1">
        <v>514</v>
      </c>
      <c r="B515" s="50">
        <v>46302</v>
      </c>
      <c r="C515" s="46">
        <v>0.7955902777777778</v>
      </c>
      <c r="D515" s="1" t="s">
        <v>232</v>
      </c>
      <c r="E515" s="47">
        <v>6000</v>
      </c>
      <c r="F515" s="1" t="s">
        <v>154</v>
      </c>
      <c r="G515" s="1" t="s">
        <v>155</v>
      </c>
      <c r="H515" s="48">
        <v>0</v>
      </c>
    </row>
    <row r="516" spans="1:8" x14ac:dyDescent="0.25">
      <c r="A516" s="1">
        <v>515</v>
      </c>
      <c r="B516" s="50">
        <v>46302</v>
      </c>
      <c r="C516" s="46">
        <v>0.80134259259259255</v>
      </c>
      <c r="D516" s="1" t="s">
        <v>232</v>
      </c>
      <c r="E516" s="47">
        <v>10000</v>
      </c>
      <c r="F516" s="1" t="s">
        <v>154</v>
      </c>
      <c r="G516" s="1" t="s">
        <v>155</v>
      </c>
      <c r="H516" s="48">
        <v>0</v>
      </c>
    </row>
    <row r="517" spans="1:8" x14ac:dyDescent="0.25">
      <c r="A517" s="1">
        <v>516</v>
      </c>
      <c r="B517" s="50">
        <v>46302</v>
      </c>
      <c r="C517" s="46">
        <v>0.82210648148148147</v>
      </c>
      <c r="D517" s="1" t="s">
        <v>134</v>
      </c>
      <c r="E517" s="47">
        <v>10000</v>
      </c>
      <c r="F517" s="1" t="s">
        <v>154</v>
      </c>
      <c r="G517" s="1" t="s">
        <v>155</v>
      </c>
      <c r="H517" s="48">
        <v>0</v>
      </c>
    </row>
    <row r="518" spans="1:8" x14ac:dyDescent="0.25">
      <c r="A518" s="1">
        <v>517</v>
      </c>
      <c r="B518" s="50">
        <v>46302</v>
      </c>
      <c r="C518" s="46">
        <v>0.85605324074074074</v>
      </c>
      <c r="D518" s="1" t="s">
        <v>841</v>
      </c>
      <c r="E518" s="47">
        <v>8000</v>
      </c>
      <c r="F518" s="1" t="s">
        <v>58</v>
      </c>
      <c r="G518" s="1" t="s">
        <v>155</v>
      </c>
      <c r="H518" s="48">
        <v>0</v>
      </c>
    </row>
    <row r="519" spans="1:8" x14ac:dyDescent="0.25">
      <c r="A519" s="1">
        <v>518</v>
      </c>
      <c r="B519" s="50">
        <v>46302</v>
      </c>
      <c r="C519" s="46">
        <v>0.87199074074074079</v>
      </c>
      <c r="D519" s="1" t="s">
        <v>216</v>
      </c>
      <c r="E519" s="47">
        <v>6000</v>
      </c>
      <c r="F519" s="1" t="s">
        <v>58</v>
      </c>
      <c r="G519" s="1" t="s">
        <v>155</v>
      </c>
      <c r="H519" s="48">
        <v>0</v>
      </c>
    </row>
    <row r="520" spans="1:8" x14ac:dyDescent="0.25">
      <c r="A520" s="1">
        <v>519</v>
      </c>
      <c r="B520" s="50">
        <v>46302</v>
      </c>
      <c r="C520" s="46">
        <v>0.87462962962962965</v>
      </c>
      <c r="D520" s="1" t="s">
        <v>842</v>
      </c>
      <c r="E520" s="47">
        <v>12000</v>
      </c>
      <c r="F520" s="1" t="s">
        <v>58</v>
      </c>
      <c r="G520" s="1" t="s">
        <v>155</v>
      </c>
      <c r="H520" s="48">
        <v>0</v>
      </c>
    </row>
    <row r="521" spans="1:8" x14ac:dyDescent="0.25">
      <c r="A521" s="1">
        <v>520</v>
      </c>
      <c r="B521" s="50">
        <v>46302</v>
      </c>
      <c r="C521" s="46">
        <v>0.88061342592592595</v>
      </c>
      <c r="D521" s="1" t="s">
        <v>134</v>
      </c>
      <c r="E521" s="47">
        <v>6000</v>
      </c>
      <c r="F521" s="1" t="s">
        <v>58</v>
      </c>
      <c r="G521" s="1" t="s">
        <v>155</v>
      </c>
      <c r="H521" s="48">
        <v>0</v>
      </c>
    </row>
    <row r="522" spans="1:8" x14ac:dyDescent="0.25">
      <c r="A522" s="1">
        <v>521</v>
      </c>
      <c r="B522" s="50">
        <v>46302</v>
      </c>
      <c r="C522" s="46">
        <v>0.89768518518518514</v>
      </c>
      <c r="D522" s="1" t="s">
        <v>168</v>
      </c>
      <c r="E522" s="47">
        <v>4000</v>
      </c>
      <c r="F522" s="1" t="s">
        <v>154</v>
      </c>
      <c r="G522" s="1" t="s">
        <v>155</v>
      </c>
      <c r="H522" s="48">
        <v>0</v>
      </c>
    </row>
    <row r="523" spans="1:8" x14ac:dyDescent="0.25">
      <c r="A523" s="1">
        <v>522</v>
      </c>
      <c r="B523" s="50">
        <v>46302</v>
      </c>
      <c r="C523" s="46">
        <v>0.90606481481481482</v>
      </c>
      <c r="D523" s="1" t="s">
        <v>134</v>
      </c>
      <c r="E523" s="47">
        <v>10000</v>
      </c>
      <c r="F523" s="1" t="s">
        <v>58</v>
      </c>
      <c r="G523" s="1" t="s">
        <v>155</v>
      </c>
      <c r="H523" s="48">
        <v>0</v>
      </c>
    </row>
    <row r="524" spans="1:8" x14ac:dyDescent="0.25">
      <c r="A524" s="1">
        <v>523</v>
      </c>
      <c r="B524" s="50">
        <v>46302</v>
      </c>
      <c r="C524" s="46">
        <v>0.9191435185185185</v>
      </c>
      <c r="D524" s="1" t="s">
        <v>516</v>
      </c>
      <c r="E524" s="47">
        <v>13000</v>
      </c>
      <c r="F524" s="1" t="s">
        <v>154</v>
      </c>
      <c r="G524" s="1" t="s">
        <v>155</v>
      </c>
      <c r="H524" s="48">
        <v>0</v>
      </c>
    </row>
    <row r="525" spans="1:8" ht="30" x14ac:dyDescent="0.25">
      <c r="A525" s="1">
        <v>524</v>
      </c>
      <c r="B525" s="50">
        <v>46302</v>
      </c>
      <c r="C525" s="46">
        <v>0.96317129629629628</v>
      </c>
      <c r="D525" s="1" t="s">
        <v>203</v>
      </c>
      <c r="E525" s="47">
        <v>3800</v>
      </c>
      <c r="F525" s="1" t="s">
        <v>58</v>
      </c>
      <c r="G525" s="1" t="s">
        <v>155</v>
      </c>
      <c r="H525" s="48">
        <v>0</v>
      </c>
    </row>
    <row r="526" spans="1:8" x14ac:dyDescent="0.25">
      <c r="A526" s="1">
        <v>525</v>
      </c>
      <c r="B526" s="50">
        <v>46303</v>
      </c>
      <c r="C526" s="46">
        <v>0.72885416666666669</v>
      </c>
      <c r="D526" s="1" t="s">
        <v>626</v>
      </c>
      <c r="E526" s="47">
        <v>3000</v>
      </c>
      <c r="F526" s="1" t="s">
        <v>162</v>
      </c>
      <c r="G526" s="1" t="s">
        <v>155</v>
      </c>
      <c r="H526" s="48">
        <v>0</v>
      </c>
    </row>
    <row r="527" spans="1:8" x14ac:dyDescent="0.25">
      <c r="A527" s="1">
        <v>526</v>
      </c>
      <c r="B527" s="50">
        <v>46303</v>
      </c>
      <c r="C527" s="46">
        <v>0.75329861111111107</v>
      </c>
      <c r="D527" s="1" t="s">
        <v>211</v>
      </c>
      <c r="E527" s="47">
        <v>7000</v>
      </c>
      <c r="F527" s="1" t="s">
        <v>162</v>
      </c>
      <c r="G527" s="1" t="s">
        <v>163</v>
      </c>
      <c r="H527" s="48">
        <v>7000</v>
      </c>
    </row>
    <row r="528" spans="1:8" x14ac:dyDescent="0.25">
      <c r="A528" s="1">
        <v>527</v>
      </c>
      <c r="B528" s="50">
        <v>46303</v>
      </c>
      <c r="C528" s="46">
        <v>0.78432870370370367</v>
      </c>
      <c r="D528" s="1" t="s">
        <v>213</v>
      </c>
      <c r="E528" s="47">
        <v>18000</v>
      </c>
      <c r="F528" s="1" t="s">
        <v>154</v>
      </c>
      <c r="G528" s="1" t="s">
        <v>155</v>
      </c>
      <c r="H528" s="48">
        <v>0</v>
      </c>
    </row>
    <row r="529" spans="1:8" x14ac:dyDescent="0.25">
      <c r="A529" s="1">
        <v>528</v>
      </c>
      <c r="B529" s="50">
        <v>46303</v>
      </c>
      <c r="C529" s="46">
        <v>7</v>
      </c>
      <c r="D529" s="1" t="s">
        <v>212</v>
      </c>
      <c r="E529" s="47">
        <v>10000</v>
      </c>
      <c r="F529" s="1" t="s">
        <v>154</v>
      </c>
      <c r="G529" s="1" t="s">
        <v>155</v>
      </c>
      <c r="H529" s="48">
        <v>0</v>
      </c>
    </row>
    <row r="530" spans="1:8" x14ac:dyDescent="0.25">
      <c r="A530" s="1">
        <v>529</v>
      </c>
      <c r="B530" s="50">
        <v>46303</v>
      </c>
      <c r="C530" s="46">
        <v>0.84603009259259254</v>
      </c>
      <c r="D530" s="1" t="s">
        <v>614</v>
      </c>
      <c r="E530" s="47">
        <v>9000</v>
      </c>
      <c r="F530" s="1" t="s">
        <v>154</v>
      </c>
      <c r="G530" s="1" t="s">
        <v>155</v>
      </c>
      <c r="H530" s="48">
        <v>0</v>
      </c>
    </row>
    <row r="531" spans="1:8" x14ac:dyDescent="0.25">
      <c r="A531" s="1">
        <v>530</v>
      </c>
      <c r="B531" s="50">
        <v>46303</v>
      </c>
      <c r="C531" s="46">
        <v>0.87497685185185181</v>
      </c>
      <c r="D531" s="1" t="s">
        <v>889</v>
      </c>
      <c r="E531" s="47">
        <v>22000</v>
      </c>
      <c r="F531" s="1" t="s">
        <v>154</v>
      </c>
      <c r="G531" s="1" t="s">
        <v>155</v>
      </c>
      <c r="H531" s="48">
        <v>0</v>
      </c>
    </row>
    <row r="532" spans="1:8" x14ac:dyDescent="0.25">
      <c r="A532" s="1">
        <v>531</v>
      </c>
      <c r="B532" s="50">
        <v>46303</v>
      </c>
      <c r="C532" s="46">
        <v>0.87515046296296295</v>
      </c>
      <c r="D532" s="1" t="s">
        <v>890</v>
      </c>
      <c r="E532" s="47">
        <v>26000</v>
      </c>
      <c r="F532" s="1" t="s">
        <v>58</v>
      </c>
      <c r="G532" s="1" t="s">
        <v>155</v>
      </c>
      <c r="H532" s="48">
        <v>0</v>
      </c>
    </row>
    <row r="533" spans="1:8" x14ac:dyDescent="0.25">
      <c r="A533" s="1">
        <v>532</v>
      </c>
      <c r="B533" s="50">
        <v>46303</v>
      </c>
      <c r="C533" s="46">
        <v>0.94734953703703706</v>
      </c>
      <c r="D533" s="1" t="s">
        <v>202</v>
      </c>
      <c r="E533" s="47">
        <v>18400</v>
      </c>
      <c r="F533" s="1" t="s">
        <v>58</v>
      </c>
      <c r="G533" s="1" t="s">
        <v>155</v>
      </c>
      <c r="H533" s="48">
        <v>0</v>
      </c>
    </row>
    <row r="534" spans="1:8" x14ac:dyDescent="0.25">
      <c r="A534" s="1">
        <v>533</v>
      </c>
      <c r="B534" s="50">
        <v>46303</v>
      </c>
      <c r="C534" s="46">
        <v>0.96370370370370373</v>
      </c>
      <c r="D534" s="1" t="s">
        <v>134</v>
      </c>
      <c r="E534" s="47">
        <v>9000</v>
      </c>
      <c r="F534" s="1" t="s">
        <v>154</v>
      </c>
      <c r="G534" s="1" t="s">
        <v>155</v>
      </c>
      <c r="H534" s="48">
        <v>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3B6F-EE8D-4A55-BE55-DED8B0CCBBE6}">
  <sheetPr codeName="Hoja3">
    <tabColor theme="6" tint="0.39997558519241921"/>
  </sheetPr>
  <dimension ref="A1:G136"/>
  <sheetViews>
    <sheetView topLeftCell="B1" zoomScale="140" zoomScaleNormal="140" workbookViewId="0">
      <selection activeCell="F140" sqref="F140"/>
    </sheetView>
  </sheetViews>
  <sheetFormatPr baseColWidth="10" defaultRowHeight="15" x14ac:dyDescent="0.25"/>
  <cols>
    <col min="1" max="1" width="11.28515625" customWidth="1"/>
    <col min="2" max="2" width="25.42578125" customWidth="1"/>
    <col min="4" max="4" width="28.5703125" customWidth="1"/>
    <col min="5" max="5" width="17.7109375" customWidth="1"/>
    <col min="6" max="6" width="17.140625" customWidth="1"/>
  </cols>
  <sheetData>
    <row r="1" spans="1:7" ht="30" x14ac:dyDescent="0.25">
      <c r="A1" s="7" t="s">
        <v>37</v>
      </c>
      <c r="B1" s="7" t="s">
        <v>38</v>
      </c>
      <c r="C1" s="7" t="s">
        <v>39</v>
      </c>
      <c r="D1" s="7" t="s">
        <v>47</v>
      </c>
      <c r="E1" s="7" t="s">
        <v>49</v>
      </c>
      <c r="F1" s="7" t="s">
        <v>40</v>
      </c>
      <c r="G1" s="7" t="s">
        <v>116</v>
      </c>
    </row>
    <row r="2" spans="1:7" x14ac:dyDescent="0.25">
      <c r="A2" s="3">
        <v>1</v>
      </c>
      <c r="B2" s="4" t="s">
        <v>42</v>
      </c>
      <c r="C2" s="4"/>
      <c r="D2" s="4"/>
      <c r="E2" s="4"/>
      <c r="F2" s="4" t="s">
        <v>41</v>
      </c>
      <c r="G2" s="4"/>
    </row>
    <row r="3" spans="1:7" x14ac:dyDescent="0.25">
      <c r="A3" s="3">
        <v>2</v>
      </c>
      <c r="B3" s="4" t="s">
        <v>43</v>
      </c>
      <c r="C3" s="4">
        <v>3135417562</v>
      </c>
      <c r="D3" t="s">
        <v>48</v>
      </c>
      <c r="E3" s="5"/>
      <c r="F3" s="4" t="s">
        <v>41</v>
      </c>
      <c r="G3" s="4">
        <v>98669519</v>
      </c>
    </row>
    <row r="4" spans="1:7" x14ac:dyDescent="0.25">
      <c r="A4" s="3">
        <v>3</v>
      </c>
      <c r="B4" s="4" t="s">
        <v>44</v>
      </c>
      <c r="C4" s="4"/>
      <c r="D4" s="4"/>
      <c r="E4" s="4"/>
      <c r="F4" s="4"/>
      <c r="G4" s="4"/>
    </row>
    <row r="5" spans="1:7" x14ac:dyDescent="0.25">
      <c r="A5">
        <v>4</v>
      </c>
      <c r="B5" s="4" t="s">
        <v>45</v>
      </c>
      <c r="G5" s="4"/>
    </row>
    <row r="6" spans="1:7" x14ac:dyDescent="0.25">
      <c r="A6">
        <v>5</v>
      </c>
      <c r="B6" s="4" t="s">
        <v>46</v>
      </c>
      <c r="G6" s="4"/>
    </row>
    <row r="7" spans="1:7" x14ac:dyDescent="0.25">
      <c r="A7" s="3">
        <v>6</v>
      </c>
      <c r="B7" s="4" t="s">
        <v>103</v>
      </c>
      <c r="C7" s="4"/>
      <c r="D7" s="4"/>
      <c r="E7" s="4"/>
      <c r="F7" s="4"/>
      <c r="G7" s="4"/>
    </row>
    <row r="8" spans="1:7" x14ac:dyDescent="0.25">
      <c r="A8" s="3">
        <v>7</v>
      </c>
      <c r="B8" s="4" t="s">
        <v>117</v>
      </c>
      <c r="C8" s="4">
        <v>3052465963</v>
      </c>
      <c r="D8" s="4"/>
      <c r="E8" s="4"/>
      <c r="F8" s="4" t="s">
        <v>180</v>
      </c>
      <c r="G8" s="36" t="s">
        <v>118</v>
      </c>
    </row>
    <row r="9" spans="1:7" ht="30" x14ac:dyDescent="0.25">
      <c r="A9" s="3">
        <v>8</v>
      </c>
      <c r="B9" s="4" t="s">
        <v>119</v>
      </c>
      <c r="C9" s="4">
        <v>3004699405</v>
      </c>
      <c r="D9" s="4" t="s">
        <v>120</v>
      </c>
      <c r="E9" s="4" t="s">
        <v>121</v>
      </c>
      <c r="F9" s="4" t="s">
        <v>122</v>
      </c>
      <c r="G9" s="36" t="s">
        <v>123</v>
      </c>
    </row>
    <row r="10" spans="1:7" x14ac:dyDescent="0.25">
      <c r="A10" s="3">
        <v>9</v>
      </c>
      <c r="B10" s="4" t="s">
        <v>124</v>
      </c>
      <c r="C10" s="4"/>
      <c r="D10" s="4"/>
      <c r="E10" s="4"/>
      <c r="F10" s="4"/>
      <c r="G10" s="36" t="s">
        <v>125</v>
      </c>
    </row>
    <row r="11" spans="1:7" x14ac:dyDescent="0.25">
      <c r="A11" s="3">
        <v>10</v>
      </c>
      <c r="B11" s="4" t="s">
        <v>126</v>
      </c>
      <c r="C11" s="4"/>
      <c r="D11" s="4"/>
      <c r="E11" s="4"/>
      <c r="F11" s="4"/>
      <c r="G11" s="36" t="s">
        <v>125</v>
      </c>
    </row>
    <row r="12" spans="1:7" x14ac:dyDescent="0.25">
      <c r="A12" s="3">
        <v>11</v>
      </c>
      <c r="B12" s="4" t="s">
        <v>129</v>
      </c>
      <c r="C12" s="4"/>
      <c r="D12" s="4"/>
      <c r="E12" s="4"/>
      <c r="F12" s="4"/>
      <c r="G12" s="36" t="s">
        <v>125</v>
      </c>
    </row>
    <row r="13" spans="1:7" x14ac:dyDescent="0.25">
      <c r="A13" s="3">
        <v>12</v>
      </c>
      <c r="B13" s="4" t="s">
        <v>148</v>
      </c>
      <c r="C13" s="4"/>
      <c r="D13" s="4"/>
      <c r="E13" s="4"/>
      <c r="F13" s="4"/>
      <c r="G13" s="36"/>
    </row>
    <row r="14" spans="1:7" x14ac:dyDescent="0.25">
      <c r="A14" s="3">
        <v>13</v>
      </c>
      <c r="B14" s="4" t="s">
        <v>149</v>
      </c>
      <c r="C14" s="4"/>
      <c r="D14" s="4"/>
      <c r="E14" s="4"/>
      <c r="F14" s="4"/>
      <c r="G14" s="36"/>
    </row>
    <row r="15" spans="1:7" x14ac:dyDescent="0.25">
      <c r="A15" s="3">
        <v>14</v>
      </c>
      <c r="B15" s="4" t="s">
        <v>150</v>
      </c>
      <c r="C15" s="4"/>
      <c r="D15" s="4"/>
      <c r="E15" s="4"/>
      <c r="F15" s="4"/>
      <c r="G15" s="36"/>
    </row>
    <row r="16" spans="1:7" x14ac:dyDescent="0.25">
      <c r="A16" s="3">
        <v>15</v>
      </c>
      <c r="B16" s="4" t="s">
        <v>151</v>
      </c>
      <c r="C16" s="4"/>
      <c r="D16" s="4"/>
      <c r="E16" s="4"/>
      <c r="F16" s="4"/>
      <c r="G16" s="36"/>
    </row>
    <row r="17" spans="1:7" x14ac:dyDescent="0.25">
      <c r="A17" s="3">
        <v>16</v>
      </c>
      <c r="B17" s="4" t="s">
        <v>429</v>
      </c>
      <c r="C17" s="4"/>
      <c r="D17" s="4"/>
      <c r="E17" s="4"/>
      <c r="F17" s="4"/>
      <c r="G17" s="4"/>
    </row>
    <row r="18" spans="1:7" x14ac:dyDescent="0.25">
      <c r="A18" s="3">
        <v>17</v>
      </c>
      <c r="B18" s="4" t="s">
        <v>153</v>
      </c>
      <c r="C18" s="4"/>
      <c r="D18" s="4"/>
      <c r="E18" s="4"/>
      <c r="F18" s="4"/>
      <c r="G18" s="4"/>
    </row>
    <row r="19" spans="1:7" x14ac:dyDescent="0.25">
      <c r="A19" s="3">
        <v>18</v>
      </c>
      <c r="B19" s="4" t="s">
        <v>166</v>
      </c>
      <c r="C19" s="4"/>
      <c r="D19" s="4"/>
      <c r="E19" s="4"/>
      <c r="F19" s="4"/>
      <c r="G19" s="36"/>
    </row>
    <row r="20" spans="1:7" x14ac:dyDescent="0.25">
      <c r="A20" s="3">
        <v>19</v>
      </c>
      <c r="B20" s="4" t="s">
        <v>168</v>
      </c>
      <c r="C20" s="4"/>
      <c r="D20" s="4"/>
      <c r="E20" s="4"/>
      <c r="F20" s="4"/>
      <c r="G20" s="4"/>
    </row>
    <row r="21" spans="1:7" x14ac:dyDescent="0.25">
      <c r="A21" s="3">
        <v>20</v>
      </c>
      <c r="B21" s="4" t="s">
        <v>169</v>
      </c>
      <c r="C21" s="4"/>
      <c r="D21" s="4"/>
      <c r="E21" s="4"/>
      <c r="F21" s="4"/>
      <c r="G21" s="4"/>
    </row>
    <row r="22" spans="1:7" x14ac:dyDescent="0.25">
      <c r="A22" s="3">
        <v>21</v>
      </c>
      <c r="B22" s="4" t="s">
        <v>170</v>
      </c>
      <c r="C22" s="4"/>
      <c r="D22" s="4"/>
      <c r="E22" s="4"/>
      <c r="F22" s="4"/>
      <c r="G22" s="4"/>
    </row>
    <row r="23" spans="1:7" x14ac:dyDescent="0.25">
      <c r="A23" s="3">
        <v>22</v>
      </c>
      <c r="B23" s="4" t="s">
        <v>172</v>
      </c>
      <c r="C23" s="4"/>
      <c r="D23" s="4"/>
      <c r="E23" s="4"/>
      <c r="F23" s="4"/>
      <c r="G23" s="4"/>
    </row>
    <row r="24" spans="1:7" x14ac:dyDescent="0.25">
      <c r="A24" s="3">
        <v>23</v>
      </c>
      <c r="B24" s="4" t="s">
        <v>173</v>
      </c>
      <c r="C24" s="4"/>
      <c r="D24" s="4"/>
      <c r="E24" s="4"/>
      <c r="F24" s="4"/>
      <c r="G24" s="4"/>
    </row>
    <row r="25" spans="1:7" x14ac:dyDescent="0.25">
      <c r="A25" s="3">
        <v>24</v>
      </c>
      <c r="B25" s="4" t="s">
        <v>174</v>
      </c>
      <c r="C25" s="4"/>
      <c r="D25" s="4"/>
      <c r="E25" s="4"/>
      <c r="F25" s="4"/>
      <c r="G25" s="4"/>
    </row>
    <row r="26" spans="1:7" x14ac:dyDescent="0.25">
      <c r="A26" s="3">
        <v>25</v>
      </c>
      <c r="B26" s="4" t="s">
        <v>176</v>
      </c>
      <c r="C26" s="4"/>
      <c r="D26" s="4"/>
      <c r="E26" s="4"/>
      <c r="F26" s="4"/>
      <c r="G26" s="4"/>
    </row>
    <row r="27" spans="1:7" x14ac:dyDescent="0.25">
      <c r="A27" s="3">
        <v>26</v>
      </c>
      <c r="B27" s="4" t="s">
        <v>177</v>
      </c>
      <c r="C27" s="4"/>
      <c r="D27" s="4"/>
      <c r="E27" s="4"/>
      <c r="F27" s="4"/>
      <c r="G27" s="4"/>
    </row>
    <row r="28" spans="1:7" x14ac:dyDescent="0.25">
      <c r="A28" s="3">
        <v>27</v>
      </c>
      <c r="B28" s="4" t="s">
        <v>178</v>
      </c>
      <c r="C28" s="4"/>
      <c r="D28" s="4"/>
      <c r="E28" s="4"/>
      <c r="F28" s="4"/>
      <c r="G28" s="4"/>
    </row>
    <row r="29" spans="1:7" x14ac:dyDescent="0.25">
      <c r="A29" s="3">
        <v>28</v>
      </c>
      <c r="B29" s="4" t="s">
        <v>179</v>
      </c>
      <c r="C29" s="4"/>
      <c r="D29" s="4"/>
      <c r="E29" s="4"/>
      <c r="F29" s="4"/>
      <c r="G29" s="4"/>
    </row>
    <row r="30" spans="1:7" x14ac:dyDescent="0.25">
      <c r="A30" s="3">
        <v>29</v>
      </c>
      <c r="B30" s="4" t="s">
        <v>185</v>
      </c>
      <c r="C30" s="4"/>
      <c r="D30" s="4"/>
      <c r="E30" s="4"/>
      <c r="F30" s="4"/>
      <c r="G30" s="4"/>
    </row>
    <row r="31" spans="1:7" x14ac:dyDescent="0.25">
      <c r="A31" s="3">
        <v>30</v>
      </c>
      <c r="B31" s="4" t="s">
        <v>188</v>
      </c>
      <c r="C31" s="4"/>
      <c r="D31" s="4"/>
      <c r="E31" s="4"/>
      <c r="F31" s="4"/>
      <c r="G31" s="4"/>
    </row>
    <row r="32" spans="1:7" x14ac:dyDescent="0.25">
      <c r="A32" s="3">
        <v>31</v>
      </c>
      <c r="B32" s="4" t="s">
        <v>189</v>
      </c>
      <c r="C32" s="4"/>
      <c r="D32" s="4"/>
      <c r="E32" s="4"/>
      <c r="F32" s="4"/>
      <c r="G32" s="4"/>
    </row>
    <row r="33" spans="1:7" x14ac:dyDescent="0.25">
      <c r="A33" s="3">
        <v>32</v>
      </c>
      <c r="B33" s="4" t="s">
        <v>192</v>
      </c>
      <c r="C33" s="4"/>
      <c r="D33" s="4"/>
      <c r="E33" s="4"/>
      <c r="F33" s="4"/>
      <c r="G33" s="4"/>
    </row>
    <row r="34" spans="1:7" x14ac:dyDescent="0.25">
      <c r="A34" s="3">
        <v>33</v>
      </c>
      <c r="B34" s="4" t="s">
        <v>193</v>
      </c>
      <c r="C34" s="4"/>
      <c r="D34" s="4"/>
      <c r="E34" s="4"/>
      <c r="F34" s="4"/>
      <c r="G34" s="4"/>
    </row>
    <row r="35" spans="1:7" x14ac:dyDescent="0.25">
      <c r="A35" s="3">
        <v>34</v>
      </c>
      <c r="B35" s="4" t="s">
        <v>194</v>
      </c>
      <c r="C35" s="4"/>
      <c r="D35" s="4"/>
      <c r="E35" s="4"/>
      <c r="F35" s="4"/>
      <c r="G35" s="4"/>
    </row>
    <row r="36" spans="1:7" x14ac:dyDescent="0.25">
      <c r="A36" s="3">
        <v>35</v>
      </c>
      <c r="B36" s="4" t="s">
        <v>195</v>
      </c>
      <c r="C36" s="4"/>
      <c r="D36" s="4"/>
      <c r="E36" s="4"/>
      <c r="F36" s="4"/>
      <c r="G36" s="4"/>
    </row>
    <row r="37" spans="1:7" x14ac:dyDescent="0.25">
      <c r="A37" s="3">
        <v>36</v>
      </c>
      <c r="B37" s="4" t="s">
        <v>198</v>
      </c>
      <c r="C37" s="4"/>
      <c r="D37" s="4"/>
      <c r="E37" s="4"/>
      <c r="F37" s="4"/>
      <c r="G37" s="4"/>
    </row>
    <row r="38" spans="1:7" x14ac:dyDescent="0.25">
      <c r="A38" s="3">
        <v>37</v>
      </c>
      <c r="B38" s="4" t="s">
        <v>197</v>
      </c>
      <c r="C38" s="4"/>
      <c r="D38" s="4"/>
      <c r="E38" s="4"/>
      <c r="F38" s="4"/>
      <c r="G38" s="4"/>
    </row>
    <row r="39" spans="1:7" x14ac:dyDescent="0.25">
      <c r="A39" s="3">
        <v>38</v>
      </c>
      <c r="B39" s="4" t="s">
        <v>199</v>
      </c>
      <c r="C39" s="4"/>
      <c r="D39" s="4"/>
      <c r="E39" s="4"/>
      <c r="F39" s="4"/>
      <c r="G39" s="4"/>
    </row>
    <row r="40" spans="1:7" x14ac:dyDescent="0.25">
      <c r="A40" s="3">
        <v>39</v>
      </c>
      <c r="B40" s="4" t="s">
        <v>200</v>
      </c>
      <c r="C40" s="4"/>
      <c r="D40" s="4"/>
      <c r="E40" s="4"/>
      <c r="F40" s="4"/>
      <c r="G40" s="4"/>
    </row>
    <row r="41" spans="1:7" x14ac:dyDescent="0.25">
      <c r="A41" s="3">
        <v>40</v>
      </c>
      <c r="B41" s="4" t="s">
        <v>201</v>
      </c>
      <c r="C41" s="4"/>
      <c r="D41" s="4"/>
      <c r="E41" s="4"/>
      <c r="F41" s="4"/>
      <c r="G41" s="36"/>
    </row>
    <row r="42" spans="1:7" x14ac:dyDescent="0.25">
      <c r="A42" s="3">
        <v>41</v>
      </c>
      <c r="B42" s="4" t="s">
        <v>202</v>
      </c>
      <c r="C42" s="4"/>
      <c r="D42" s="4"/>
      <c r="E42" s="4"/>
      <c r="F42" s="4"/>
      <c r="G42" s="4"/>
    </row>
    <row r="43" spans="1:7" x14ac:dyDescent="0.25">
      <c r="A43" s="3">
        <v>42</v>
      </c>
      <c r="B43" s="4" t="s">
        <v>203</v>
      </c>
      <c r="C43" s="4"/>
      <c r="D43" s="4"/>
      <c r="E43" s="4"/>
      <c r="F43" s="4"/>
      <c r="G43" s="4"/>
    </row>
    <row r="44" spans="1:7" x14ac:dyDescent="0.25">
      <c r="A44" s="3">
        <v>43</v>
      </c>
      <c r="B44" s="4" t="s">
        <v>204</v>
      </c>
      <c r="C44" s="4"/>
      <c r="D44" s="4"/>
      <c r="E44" s="4"/>
      <c r="F44" s="4"/>
      <c r="G44" s="4"/>
    </row>
    <row r="45" spans="1:7" x14ac:dyDescent="0.25">
      <c r="A45" s="3">
        <v>44</v>
      </c>
      <c r="B45" s="4" t="s">
        <v>205</v>
      </c>
      <c r="C45" s="4"/>
      <c r="D45" s="4"/>
      <c r="E45" s="4"/>
      <c r="F45" s="4"/>
      <c r="G45" s="4"/>
    </row>
    <row r="46" spans="1:7" x14ac:dyDescent="0.25">
      <c r="A46" s="3">
        <v>45</v>
      </c>
      <c r="B46" s="4" t="s">
        <v>206</v>
      </c>
      <c r="C46" s="4"/>
      <c r="D46" s="4"/>
      <c r="E46" s="4"/>
      <c r="F46" s="4"/>
      <c r="G46" s="4"/>
    </row>
    <row r="47" spans="1:7" x14ac:dyDescent="0.25">
      <c r="A47" s="3">
        <v>46</v>
      </c>
      <c r="B47" s="4" t="s">
        <v>207</v>
      </c>
      <c r="C47" s="4"/>
      <c r="D47" s="4"/>
      <c r="E47" s="4"/>
      <c r="F47" s="4"/>
      <c r="G47" s="4"/>
    </row>
    <row r="48" spans="1:7" x14ac:dyDescent="0.25">
      <c r="A48" s="3">
        <v>47</v>
      </c>
      <c r="B48" s="4" t="s">
        <v>208</v>
      </c>
      <c r="C48" s="4"/>
      <c r="D48" s="4"/>
      <c r="E48" s="4"/>
      <c r="F48" s="4"/>
      <c r="G48" s="4"/>
    </row>
    <row r="49" spans="1:7" x14ac:dyDescent="0.25">
      <c r="A49" s="3">
        <v>48</v>
      </c>
      <c r="B49" s="4" t="s">
        <v>209</v>
      </c>
      <c r="C49" s="4"/>
      <c r="D49" s="4"/>
      <c r="E49" s="4"/>
      <c r="F49" s="4"/>
      <c r="G49" s="4"/>
    </row>
    <row r="50" spans="1:7" x14ac:dyDescent="0.25">
      <c r="A50" s="3">
        <v>49</v>
      </c>
      <c r="B50" s="4" t="s">
        <v>210</v>
      </c>
      <c r="C50" s="4"/>
      <c r="D50" s="4"/>
      <c r="E50" s="4"/>
      <c r="F50" s="4"/>
      <c r="G50" s="4"/>
    </row>
    <row r="51" spans="1:7" x14ac:dyDescent="0.25">
      <c r="A51" s="3">
        <v>50</v>
      </c>
      <c r="B51" s="4" t="s">
        <v>211</v>
      </c>
      <c r="C51" s="4"/>
      <c r="D51" s="4"/>
      <c r="E51" s="4"/>
      <c r="F51" s="4"/>
      <c r="G51" s="4"/>
    </row>
    <row r="52" spans="1:7" x14ac:dyDescent="0.25">
      <c r="A52" s="3">
        <v>51</v>
      </c>
      <c r="B52" s="4" t="s">
        <v>212</v>
      </c>
      <c r="C52" s="4"/>
      <c r="D52" s="4"/>
      <c r="E52" s="4"/>
      <c r="F52" s="4"/>
      <c r="G52" s="4"/>
    </row>
    <row r="53" spans="1:7" x14ac:dyDescent="0.25">
      <c r="A53" s="3">
        <v>52</v>
      </c>
      <c r="B53" s="4" t="s">
        <v>213</v>
      </c>
      <c r="C53" s="4"/>
      <c r="D53" s="4"/>
      <c r="E53" s="4"/>
      <c r="F53" s="4"/>
      <c r="G53" s="4"/>
    </row>
    <row r="54" spans="1:7" x14ac:dyDescent="0.25">
      <c r="A54" s="3">
        <v>53</v>
      </c>
      <c r="B54" s="4" t="s">
        <v>214</v>
      </c>
      <c r="C54" s="4"/>
      <c r="D54" s="4"/>
      <c r="E54" s="4"/>
      <c r="F54" s="4"/>
      <c r="G54" s="4"/>
    </row>
    <row r="55" spans="1:7" x14ac:dyDescent="0.25">
      <c r="A55" s="3">
        <v>54</v>
      </c>
      <c r="B55" s="4" t="s">
        <v>215</v>
      </c>
      <c r="C55" s="4"/>
      <c r="D55" s="4"/>
      <c r="E55" s="4"/>
      <c r="F55" s="4"/>
      <c r="G55" s="4"/>
    </row>
    <row r="56" spans="1:7" x14ac:dyDescent="0.25">
      <c r="A56" s="3">
        <v>55</v>
      </c>
      <c r="B56" s="4" t="s">
        <v>216</v>
      </c>
      <c r="C56" s="4"/>
      <c r="D56" s="4"/>
      <c r="E56" s="4"/>
      <c r="F56" s="4"/>
      <c r="G56" s="4"/>
    </row>
    <row r="57" spans="1:7" x14ac:dyDescent="0.25">
      <c r="A57" s="3">
        <v>56</v>
      </c>
      <c r="B57" s="4" t="s">
        <v>217</v>
      </c>
      <c r="C57" s="4"/>
      <c r="D57" s="4"/>
      <c r="E57" s="4"/>
      <c r="F57" s="4"/>
      <c r="G57" s="4"/>
    </row>
    <row r="58" spans="1:7" x14ac:dyDescent="0.25">
      <c r="A58" s="3">
        <v>57</v>
      </c>
      <c r="B58" s="4" t="s">
        <v>218</v>
      </c>
      <c r="C58" s="4"/>
      <c r="D58" s="4"/>
      <c r="E58" s="4"/>
      <c r="F58" s="4"/>
      <c r="G58" s="4"/>
    </row>
    <row r="59" spans="1:7" x14ac:dyDescent="0.25">
      <c r="A59" s="3">
        <v>58</v>
      </c>
      <c r="B59" s="4" t="s">
        <v>219</v>
      </c>
      <c r="C59" s="4"/>
      <c r="D59" s="4"/>
      <c r="E59" s="4"/>
      <c r="F59" s="4"/>
      <c r="G59" s="4"/>
    </row>
    <row r="60" spans="1:7" x14ac:dyDescent="0.25">
      <c r="A60" s="3">
        <v>59</v>
      </c>
      <c r="B60" s="4" t="s">
        <v>220</v>
      </c>
      <c r="C60" s="4"/>
      <c r="D60" s="4"/>
      <c r="E60" s="4"/>
      <c r="F60" s="4"/>
      <c r="G60" s="4"/>
    </row>
    <row r="61" spans="1:7" x14ac:dyDescent="0.25">
      <c r="A61" s="3">
        <v>60</v>
      </c>
      <c r="B61" s="4" t="s">
        <v>221</v>
      </c>
      <c r="C61" s="4"/>
      <c r="D61" s="4"/>
      <c r="E61" s="4"/>
      <c r="F61" s="4"/>
      <c r="G61" s="4"/>
    </row>
    <row r="62" spans="1:7" x14ac:dyDescent="0.25">
      <c r="A62" s="3">
        <v>61</v>
      </c>
      <c r="B62" s="4" t="s">
        <v>222</v>
      </c>
      <c r="C62" s="4"/>
      <c r="D62" s="4"/>
      <c r="E62" s="4"/>
      <c r="F62" s="4"/>
      <c r="G62" s="4"/>
    </row>
    <row r="63" spans="1:7" x14ac:dyDescent="0.25">
      <c r="A63" s="3">
        <v>62</v>
      </c>
      <c r="B63" s="4" t="s">
        <v>223</v>
      </c>
      <c r="C63" s="4"/>
      <c r="D63" s="4"/>
      <c r="E63" s="4"/>
      <c r="F63" s="4"/>
      <c r="G63" s="4"/>
    </row>
    <row r="64" spans="1:7" x14ac:dyDescent="0.25">
      <c r="A64" s="3">
        <v>63</v>
      </c>
      <c r="B64" s="4" t="s">
        <v>224</v>
      </c>
      <c r="C64" s="4"/>
      <c r="D64" s="4"/>
      <c r="E64" s="4"/>
      <c r="F64" s="4"/>
      <c r="G64" s="4"/>
    </row>
    <row r="65" spans="1:7" x14ac:dyDescent="0.25">
      <c r="A65" s="3">
        <v>64</v>
      </c>
      <c r="B65" s="4" t="s">
        <v>225</v>
      </c>
      <c r="C65" s="4"/>
      <c r="D65" s="4"/>
      <c r="E65" s="4"/>
      <c r="F65" s="4"/>
      <c r="G65" s="4"/>
    </row>
    <row r="66" spans="1:7" x14ac:dyDescent="0.25">
      <c r="A66" s="3">
        <v>65</v>
      </c>
      <c r="B66" s="4" t="s">
        <v>226</v>
      </c>
      <c r="C66" s="4"/>
      <c r="D66" s="4"/>
      <c r="E66" s="4"/>
      <c r="F66" s="4"/>
      <c r="G66" s="4"/>
    </row>
    <row r="67" spans="1:7" x14ac:dyDescent="0.25">
      <c r="A67" s="3">
        <v>66</v>
      </c>
      <c r="B67" s="4" t="s">
        <v>227</v>
      </c>
      <c r="C67" s="4"/>
      <c r="D67" s="4"/>
      <c r="E67" s="4"/>
      <c r="F67" s="4"/>
      <c r="G67" s="4"/>
    </row>
    <row r="68" spans="1:7" x14ac:dyDescent="0.25">
      <c r="A68" s="3">
        <v>67</v>
      </c>
      <c r="B68" s="4" t="s">
        <v>228</v>
      </c>
      <c r="C68" s="4"/>
      <c r="D68" s="4"/>
      <c r="E68" s="4"/>
      <c r="F68" s="4"/>
      <c r="G68" s="4"/>
    </row>
    <row r="69" spans="1:7" x14ac:dyDescent="0.25">
      <c r="A69" s="3">
        <v>68</v>
      </c>
      <c r="B69" s="4" t="s">
        <v>229</v>
      </c>
      <c r="C69" s="4"/>
      <c r="D69" s="4"/>
      <c r="E69" s="4"/>
      <c r="F69" s="4"/>
      <c r="G69" s="4"/>
    </row>
    <row r="70" spans="1:7" x14ac:dyDescent="0.25">
      <c r="A70" s="3">
        <v>69</v>
      </c>
      <c r="B70" s="4" t="s">
        <v>230</v>
      </c>
      <c r="C70" s="4"/>
      <c r="D70" s="4"/>
      <c r="E70" s="4"/>
      <c r="F70" s="4"/>
      <c r="G70" s="4"/>
    </row>
    <row r="71" spans="1:7" x14ac:dyDescent="0.25">
      <c r="A71" s="3">
        <v>70</v>
      </c>
      <c r="B71" s="4" t="s">
        <v>231</v>
      </c>
      <c r="C71" s="4"/>
      <c r="D71" s="4"/>
      <c r="E71" s="4"/>
      <c r="F71" s="4"/>
      <c r="G71" s="4"/>
    </row>
    <row r="72" spans="1:7" x14ac:dyDescent="0.25">
      <c r="A72" s="3">
        <v>71</v>
      </c>
      <c r="B72" s="4" t="s">
        <v>736</v>
      </c>
      <c r="C72" s="4"/>
      <c r="D72" s="4"/>
      <c r="E72" s="4"/>
      <c r="F72" s="4"/>
      <c r="G72" s="4"/>
    </row>
    <row r="73" spans="1:7" x14ac:dyDescent="0.25">
      <c r="A73" s="3">
        <v>72</v>
      </c>
      <c r="B73" s="4" t="s">
        <v>232</v>
      </c>
      <c r="C73" s="4"/>
      <c r="D73" s="4"/>
      <c r="E73" s="4"/>
      <c r="F73" s="4"/>
      <c r="G73" s="4"/>
    </row>
    <row r="74" spans="1:7" x14ac:dyDescent="0.25">
      <c r="A74" s="3">
        <v>73</v>
      </c>
      <c r="B74" s="4" t="s">
        <v>233</v>
      </c>
      <c r="C74" s="4"/>
      <c r="D74" s="4"/>
      <c r="E74" s="4"/>
      <c r="F74" s="4"/>
      <c r="G74" s="4"/>
    </row>
    <row r="75" spans="1:7" x14ac:dyDescent="0.25">
      <c r="A75" s="3">
        <v>74</v>
      </c>
      <c r="B75" s="4" t="s">
        <v>234</v>
      </c>
      <c r="C75" s="4"/>
      <c r="D75" s="4"/>
      <c r="E75" s="4"/>
      <c r="F75" s="4"/>
      <c r="G75" s="4"/>
    </row>
    <row r="76" spans="1:7" x14ac:dyDescent="0.25">
      <c r="A76" s="3">
        <v>75</v>
      </c>
      <c r="B76" s="4" t="s">
        <v>235</v>
      </c>
      <c r="C76" s="4"/>
      <c r="D76" s="4"/>
      <c r="E76" s="4"/>
      <c r="F76" s="4"/>
      <c r="G76" s="4"/>
    </row>
    <row r="77" spans="1:7" x14ac:dyDescent="0.25">
      <c r="A77" s="3">
        <v>76</v>
      </c>
      <c r="B77" s="4" t="s">
        <v>236</v>
      </c>
      <c r="C77" s="4"/>
      <c r="D77" s="4"/>
      <c r="E77" s="4"/>
      <c r="F77" s="4"/>
      <c r="G77" s="4"/>
    </row>
    <row r="78" spans="1:7" x14ac:dyDescent="0.25">
      <c r="A78" s="3">
        <v>77</v>
      </c>
      <c r="B78" s="4" t="s">
        <v>238</v>
      </c>
      <c r="C78" s="4"/>
      <c r="D78" s="4"/>
      <c r="E78" s="4"/>
      <c r="F78" s="4"/>
      <c r="G78" s="4"/>
    </row>
    <row r="79" spans="1:7" x14ac:dyDescent="0.25">
      <c r="A79" s="3">
        <v>79</v>
      </c>
      <c r="B79" s="4" t="s">
        <v>239</v>
      </c>
      <c r="C79" s="4"/>
      <c r="D79" s="4"/>
      <c r="E79" s="4"/>
      <c r="F79" s="4"/>
      <c r="G79" s="4"/>
    </row>
    <row r="80" spans="1:7" x14ac:dyDescent="0.25">
      <c r="A80" s="3">
        <v>80</v>
      </c>
      <c r="B80" s="4" t="s">
        <v>247</v>
      </c>
      <c r="C80" s="4"/>
      <c r="D80" s="4"/>
      <c r="E80" s="4"/>
      <c r="F80" s="4"/>
      <c r="G80" s="4"/>
    </row>
    <row r="81" spans="1:7" x14ac:dyDescent="0.25">
      <c r="A81" s="3">
        <v>81</v>
      </c>
      <c r="B81" s="4" t="s">
        <v>249</v>
      </c>
      <c r="C81" s="4"/>
      <c r="D81" s="4"/>
      <c r="E81" s="4"/>
      <c r="F81" s="4"/>
      <c r="G81" s="4"/>
    </row>
    <row r="82" spans="1:7" x14ac:dyDescent="0.25">
      <c r="A82" s="3">
        <v>82</v>
      </c>
      <c r="B82" s="4" t="s">
        <v>250</v>
      </c>
      <c r="C82" s="4"/>
      <c r="D82" s="4"/>
      <c r="E82" s="4"/>
      <c r="F82" s="4"/>
      <c r="G82" s="4"/>
    </row>
    <row r="83" spans="1:7" x14ac:dyDescent="0.25">
      <c r="A83" s="3">
        <v>83</v>
      </c>
      <c r="B83" s="4" t="s">
        <v>251</v>
      </c>
      <c r="C83" s="4"/>
      <c r="D83" s="4"/>
      <c r="E83" s="4"/>
      <c r="F83" s="4"/>
      <c r="G83" s="4"/>
    </row>
    <row r="84" spans="1:7" x14ac:dyDescent="0.25">
      <c r="A84" s="3">
        <v>84</v>
      </c>
      <c r="B84" s="4" t="s">
        <v>252</v>
      </c>
      <c r="C84" s="4"/>
      <c r="D84" s="4"/>
      <c r="E84" s="4"/>
      <c r="F84" s="4"/>
      <c r="G84" s="4"/>
    </row>
    <row r="85" spans="1:7" x14ac:dyDescent="0.25">
      <c r="A85" s="3">
        <v>85</v>
      </c>
      <c r="B85" s="4" t="s">
        <v>255</v>
      </c>
      <c r="C85" s="4"/>
      <c r="D85" s="4"/>
      <c r="E85" s="4"/>
      <c r="F85" s="4"/>
      <c r="G85" s="4"/>
    </row>
    <row r="86" spans="1:7" x14ac:dyDescent="0.25">
      <c r="A86" s="3">
        <v>86</v>
      </c>
      <c r="B86" s="4" t="s">
        <v>427</v>
      </c>
      <c r="C86" s="4"/>
      <c r="D86" s="4"/>
      <c r="E86" s="4"/>
      <c r="F86" s="4"/>
      <c r="G86" s="4"/>
    </row>
    <row r="87" spans="1:7" x14ac:dyDescent="0.25">
      <c r="A87" s="3">
        <v>87</v>
      </c>
      <c r="B87" s="4" t="s">
        <v>428</v>
      </c>
      <c r="C87" s="4"/>
      <c r="D87" s="4"/>
      <c r="E87" s="4"/>
      <c r="F87" s="4"/>
      <c r="G87" s="4"/>
    </row>
    <row r="88" spans="1:7" x14ac:dyDescent="0.25">
      <c r="A88" s="3">
        <v>88</v>
      </c>
      <c r="B88" s="4" t="s">
        <v>430</v>
      </c>
      <c r="C88" s="4"/>
      <c r="D88" s="4"/>
      <c r="E88" s="4"/>
      <c r="F88" s="4"/>
      <c r="G88" s="4"/>
    </row>
    <row r="89" spans="1:7" x14ac:dyDescent="0.25">
      <c r="A89" s="3">
        <v>89</v>
      </c>
      <c r="B89" s="4" t="s">
        <v>431</v>
      </c>
      <c r="C89" s="4"/>
      <c r="D89" s="4"/>
      <c r="E89" s="4"/>
      <c r="F89" s="4"/>
      <c r="G89" s="4"/>
    </row>
    <row r="90" spans="1:7" x14ac:dyDescent="0.25">
      <c r="A90" s="3">
        <v>90</v>
      </c>
      <c r="B90" s="4" t="s">
        <v>432</v>
      </c>
      <c r="C90" s="4"/>
      <c r="D90" s="4"/>
      <c r="E90" s="4"/>
      <c r="F90" s="4"/>
      <c r="G90" s="4"/>
    </row>
    <row r="91" spans="1:7" x14ac:dyDescent="0.25">
      <c r="A91" s="3">
        <v>91</v>
      </c>
      <c r="B91" s="4" t="s">
        <v>433</v>
      </c>
      <c r="C91" s="4"/>
      <c r="D91" s="4"/>
      <c r="E91" s="4"/>
      <c r="F91" s="4"/>
      <c r="G91" s="4"/>
    </row>
    <row r="92" spans="1:7" x14ac:dyDescent="0.25">
      <c r="A92" s="3">
        <v>92</v>
      </c>
      <c r="B92" s="4" t="s">
        <v>434</v>
      </c>
      <c r="C92" s="4"/>
      <c r="D92" s="4"/>
      <c r="E92" s="4"/>
      <c r="F92" s="4"/>
      <c r="G92" s="4"/>
    </row>
    <row r="93" spans="1:7" x14ac:dyDescent="0.25">
      <c r="A93" s="3">
        <v>93</v>
      </c>
      <c r="B93" s="4" t="s">
        <v>440</v>
      </c>
      <c r="C93" s="4"/>
      <c r="D93" s="4"/>
      <c r="E93" s="4"/>
      <c r="F93" s="4"/>
      <c r="G93" s="4"/>
    </row>
    <row r="94" spans="1:7" x14ac:dyDescent="0.25">
      <c r="A94" s="3">
        <v>94</v>
      </c>
      <c r="B94" s="4" t="s">
        <v>441</v>
      </c>
      <c r="C94" s="4"/>
      <c r="D94" s="4"/>
      <c r="E94" s="4"/>
      <c r="F94" s="4"/>
      <c r="G94" s="4"/>
    </row>
    <row r="95" spans="1:7" x14ac:dyDescent="0.25">
      <c r="A95" s="3">
        <v>95</v>
      </c>
      <c r="B95" s="4" t="s">
        <v>442</v>
      </c>
      <c r="C95" s="4"/>
      <c r="D95" s="4"/>
      <c r="E95" s="4"/>
      <c r="F95" s="4"/>
      <c r="G95" s="4"/>
    </row>
    <row r="96" spans="1:7" x14ac:dyDescent="0.25">
      <c r="A96" s="3">
        <v>96</v>
      </c>
      <c r="B96" s="4" t="s">
        <v>443</v>
      </c>
      <c r="C96" s="4"/>
      <c r="D96" s="4"/>
      <c r="E96" s="4"/>
      <c r="F96" s="4"/>
      <c r="G96" s="4"/>
    </row>
    <row r="97" spans="1:7" x14ac:dyDescent="0.25">
      <c r="A97" s="3">
        <v>97</v>
      </c>
      <c r="B97" s="4" t="s">
        <v>463</v>
      </c>
      <c r="C97" s="4"/>
      <c r="D97" s="4"/>
      <c r="E97" s="4"/>
      <c r="F97" s="4"/>
      <c r="G97" s="4"/>
    </row>
    <row r="98" spans="1:7" x14ac:dyDescent="0.25">
      <c r="A98" s="3"/>
      <c r="B98" s="4" t="s">
        <v>134</v>
      </c>
      <c r="C98" s="4"/>
      <c r="D98" s="4"/>
      <c r="E98" s="4"/>
      <c r="F98" s="4"/>
      <c r="G98" s="4" t="s">
        <v>135</v>
      </c>
    </row>
    <row r="99" spans="1:7" x14ac:dyDescent="0.25">
      <c r="A99" s="3">
        <v>98</v>
      </c>
      <c r="B99" s="4" t="s">
        <v>464</v>
      </c>
      <c r="C99" s="4"/>
      <c r="D99" s="4"/>
      <c r="E99" s="4"/>
      <c r="F99" s="4"/>
      <c r="G99" s="36" t="s">
        <v>125</v>
      </c>
    </row>
    <row r="100" spans="1:7" x14ac:dyDescent="0.25">
      <c r="A100" s="3">
        <v>99</v>
      </c>
      <c r="B100" s="4" t="s">
        <v>477</v>
      </c>
      <c r="C100" s="4"/>
      <c r="D100" s="4"/>
      <c r="E100" s="4"/>
      <c r="F100" s="4"/>
      <c r="G100" s="36" t="s">
        <v>125</v>
      </c>
    </row>
    <row r="101" spans="1:7" x14ac:dyDescent="0.25">
      <c r="A101" s="3">
        <v>100</v>
      </c>
      <c r="B101" s="4" t="s">
        <v>478</v>
      </c>
      <c r="C101" s="4"/>
      <c r="D101" s="4"/>
      <c r="E101" s="4"/>
      <c r="F101" s="4"/>
      <c r="G101" s="36" t="s">
        <v>125</v>
      </c>
    </row>
    <row r="102" spans="1:7" x14ac:dyDescent="0.25">
      <c r="A102" s="3">
        <v>101</v>
      </c>
      <c r="B102" s="4" t="s">
        <v>479</v>
      </c>
      <c r="C102" s="4"/>
      <c r="D102" s="4"/>
      <c r="E102" s="4"/>
      <c r="F102" s="4"/>
      <c r="G102" s="36" t="s">
        <v>125</v>
      </c>
    </row>
    <row r="103" spans="1:7" x14ac:dyDescent="0.25">
      <c r="A103" s="3">
        <v>102</v>
      </c>
      <c r="B103" s="4" t="s">
        <v>484</v>
      </c>
      <c r="C103" s="4"/>
      <c r="D103" s="4"/>
      <c r="E103" s="4"/>
      <c r="F103" s="4"/>
      <c r="G103" s="36" t="s">
        <v>125</v>
      </c>
    </row>
    <row r="104" spans="1:7" x14ac:dyDescent="0.25">
      <c r="A104" s="3">
        <v>103</v>
      </c>
      <c r="B104" s="4" t="s">
        <v>488</v>
      </c>
      <c r="C104" s="4"/>
      <c r="D104" s="4"/>
      <c r="E104" s="4"/>
      <c r="F104" s="4"/>
      <c r="G104" s="36" t="s">
        <v>125</v>
      </c>
    </row>
    <row r="105" spans="1:7" x14ac:dyDescent="0.25">
      <c r="A105" s="3">
        <v>104</v>
      </c>
      <c r="B105" s="4" t="s">
        <v>491</v>
      </c>
      <c r="C105" s="4"/>
      <c r="D105" s="4"/>
      <c r="E105" s="4"/>
      <c r="F105" s="4"/>
      <c r="G105" s="36" t="s">
        <v>125</v>
      </c>
    </row>
    <row r="106" spans="1:7" x14ac:dyDescent="0.25">
      <c r="A106" s="3">
        <v>105</v>
      </c>
      <c r="B106" s="4" t="s">
        <v>503</v>
      </c>
      <c r="C106" s="4"/>
      <c r="D106" s="4"/>
      <c r="E106" s="4"/>
      <c r="F106" s="4"/>
      <c r="G106" s="36" t="s">
        <v>125</v>
      </c>
    </row>
    <row r="107" spans="1:7" x14ac:dyDescent="0.25">
      <c r="A107" s="3">
        <v>106</v>
      </c>
      <c r="B107" s="4" t="s">
        <v>515</v>
      </c>
      <c r="C107" s="4"/>
      <c r="D107" s="4"/>
      <c r="E107" s="4"/>
      <c r="F107" s="4"/>
      <c r="G107" s="36" t="s">
        <v>125</v>
      </c>
    </row>
    <row r="108" spans="1:7" x14ac:dyDescent="0.25">
      <c r="A108" s="3">
        <v>107</v>
      </c>
      <c r="B108" s="4" t="s">
        <v>516</v>
      </c>
      <c r="C108" s="4"/>
      <c r="D108" s="4"/>
      <c r="E108" s="4"/>
      <c r="F108" s="4"/>
      <c r="G108" s="36" t="s">
        <v>125</v>
      </c>
    </row>
    <row r="109" spans="1:7" ht="30" x14ac:dyDescent="0.25">
      <c r="A109" s="3">
        <v>108</v>
      </c>
      <c r="B109" s="4" t="s">
        <v>523</v>
      </c>
      <c r="C109" s="4"/>
      <c r="D109" s="4"/>
      <c r="E109" s="4"/>
      <c r="F109" s="4"/>
      <c r="G109" s="36" t="s">
        <v>125</v>
      </c>
    </row>
    <row r="110" spans="1:7" x14ac:dyDescent="0.25">
      <c r="A110" s="3">
        <v>109</v>
      </c>
      <c r="B110" s="4" t="s">
        <v>524</v>
      </c>
      <c r="C110" s="4"/>
      <c r="D110" s="4"/>
      <c r="E110" s="4"/>
      <c r="F110" s="4"/>
      <c r="G110" s="36" t="s">
        <v>125</v>
      </c>
    </row>
    <row r="111" spans="1:7" x14ac:dyDescent="0.25">
      <c r="A111" s="3">
        <v>110</v>
      </c>
      <c r="B111" s="4" t="s">
        <v>526</v>
      </c>
      <c r="C111" s="4"/>
      <c r="D111" s="4"/>
      <c r="E111" s="4"/>
      <c r="F111" s="4"/>
      <c r="G111" s="36" t="s">
        <v>125</v>
      </c>
    </row>
    <row r="112" spans="1:7" x14ac:dyDescent="0.25">
      <c r="A112" s="3">
        <v>111</v>
      </c>
      <c r="B112" s="4" t="s">
        <v>568</v>
      </c>
      <c r="C112" s="4"/>
      <c r="D112" s="4"/>
      <c r="E112" s="4"/>
      <c r="F112" s="4"/>
      <c r="G112" s="36" t="s">
        <v>125</v>
      </c>
    </row>
    <row r="113" spans="1:7" x14ac:dyDescent="0.25">
      <c r="A113" s="3">
        <v>112</v>
      </c>
      <c r="B113" s="4" t="s">
        <v>612</v>
      </c>
      <c r="C113" s="4"/>
      <c r="D113" s="4"/>
      <c r="E113" s="4"/>
      <c r="F113" s="4"/>
      <c r="G113" s="36" t="s">
        <v>125</v>
      </c>
    </row>
    <row r="114" spans="1:7" x14ac:dyDescent="0.25">
      <c r="A114" s="3">
        <v>113</v>
      </c>
      <c r="B114" s="4" t="s">
        <v>613</v>
      </c>
      <c r="C114" s="4"/>
      <c r="D114" s="4"/>
      <c r="E114" s="4"/>
      <c r="F114" s="4"/>
      <c r="G114" s="36" t="s">
        <v>125</v>
      </c>
    </row>
    <row r="115" spans="1:7" x14ac:dyDescent="0.25">
      <c r="A115" s="3">
        <v>114</v>
      </c>
      <c r="B115" s="4" t="s">
        <v>614</v>
      </c>
      <c r="C115" s="4"/>
      <c r="D115" s="4"/>
      <c r="E115" s="4"/>
      <c r="F115" s="4"/>
      <c r="G115" s="36" t="s">
        <v>125</v>
      </c>
    </row>
    <row r="116" spans="1:7" x14ac:dyDescent="0.25">
      <c r="A116" s="3">
        <v>115</v>
      </c>
      <c r="B116" s="4" t="s">
        <v>615</v>
      </c>
      <c r="C116" s="4"/>
      <c r="D116" s="4"/>
      <c r="E116" s="4"/>
      <c r="F116" s="4"/>
      <c r="G116" s="36" t="s">
        <v>125</v>
      </c>
    </row>
    <row r="117" spans="1:7" x14ac:dyDescent="0.25">
      <c r="A117" s="3">
        <v>116</v>
      </c>
      <c r="B117" s="4" t="s">
        <v>616</v>
      </c>
      <c r="C117" s="4"/>
      <c r="D117" s="4"/>
      <c r="E117" s="4"/>
      <c r="F117" s="4"/>
      <c r="G117" s="36" t="s">
        <v>125</v>
      </c>
    </row>
    <row r="118" spans="1:7" x14ac:dyDescent="0.25">
      <c r="A118" s="3">
        <v>117</v>
      </c>
      <c r="B118" s="4" t="s">
        <v>617</v>
      </c>
      <c r="C118" s="4"/>
      <c r="D118" s="4"/>
      <c r="E118" s="4"/>
      <c r="F118" s="4"/>
      <c r="G118" s="36" t="s">
        <v>125</v>
      </c>
    </row>
    <row r="119" spans="1:7" x14ac:dyDescent="0.25">
      <c r="A119" s="3">
        <v>118</v>
      </c>
      <c r="B119" s="4" t="s">
        <v>618</v>
      </c>
      <c r="C119" s="4"/>
      <c r="D119" s="4"/>
      <c r="E119" s="4"/>
      <c r="F119" s="4"/>
      <c r="G119" s="36" t="s">
        <v>125</v>
      </c>
    </row>
    <row r="120" spans="1:7" x14ac:dyDescent="0.25">
      <c r="A120" s="3">
        <v>119</v>
      </c>
      <c r="B120" s="4" t="s">
        <v>619</v>
      </c>
      <c r="C120" s="4"/>
      <c r="D120" s="4"/>
      <c r="E120" s="4"/>
      <c r="F120" s="4"/>
      <c r="G120" s="36" t="s">
        <v>125</v>
      </c>
    </row>
    <row r="121" spans="1:7" x14ac:dyDescent="0.25">
      <c r="A121" s="3">
        <v>120</v>
      </c>
      <c r="B121" s="4" t="s">
        <v>620</v>
      </c>
      <c r="C121" s="4"/>
      <c r="D121" s="4"/>
      <c r="E121" s="4"/>
      <c r="F121" s="4"/>
      <c r="G121" s="36" t="s">
        <v>125</v>
      </c>
    </row>
    <row r="122" spans="1:7" x14ac:dyDescent="0.25">
      <c r="A122" s="3">
        <v>121</v>
      </c>
      <c r="B122" s="4" t="s">
        <v>621</v>
      </c>
      <c r="C122" s="4"/>
      <c r="D122" s="4"/>
      <c r="E122" s="4"/>
      <c r="F122" s="4"/>
      <c r="G122" s="36" t="s">
        <v>125</v>
      </c>
    </row>
    <row r="123" spans="1:7" x14ac:dyDescent="0.25">
      <c r="A123" s="3">
        <v>122</v>
      </c>
      <c r="B123" s="4" t="s">
        <v>622</v>
      </c>
      <c r="C123" s="4"/>
      <c r="D123" s="4"/>
      <c r="E123" s="4"/>
      <c r="F123" s="4"/>
      <c r="G123" s="36" t="s">
        <v>125</v>
      </c>
    </row>
    <row r="124" spans="1:7" x14ac:dyDescent="0.25">
      <c r="A124" s="3">
        <v>123</v>
      </c>
      <c r="B124" s="4" t="s">
        <v>623</v>
      </c>
      <c r="C124" s="4"/>
      <c r="D124" s="4"/>
      <c r="E124" s="4"/>
      <c r="F124" s="4"/>
      <c r="G124" s="36" t="s">
        <v>125</v>
      </c>
    </row>
    <row r="125" spans="1:7" x14ac:dyDescent="0.25">
      <c r="A125" s="3">
        <v>124</v>
      </c>
      <c r="B125" s="4" t="s">
        <v>624</v>
      </c>
      <c r="C125" s="4"/>
      <c r="D125" s="4"/>
      <c r="E125" s="4"/>
      <c r="F125" s="4"/>
      <c r="G125" s="36" t="s">
        <v>125</v>
      </c>
    </row>
    <row r="126" spans="1:7" x14ac:dyDescent="0.25">
      <c r="A126" s="3">
        <v>125</v>
      </c>
      <c r="B126" s="4" t="s">
        <v>625</v>
      </c>
      <c r="C126" s="4"/>
      <c r="D126" s="4"/>
      <c r="E126" s="4"/>
      <c r="F126" s="4"/>
      <c r="G126" s="36" t="s">
        <v>125</v>
      </c>
    </row>
    <row r="127" spans="1:7" x14ac:dyDescent="0.25">
      <c r="A127" s="3">
        <v>126</v>
      </c>
      <c r="B127" s="4" t="s">
        <v>626</v>
      </c>
      <c r="C127" s="4"/>
      <c r="D127" s="4"/>
      <c r="E127" s="4"/>
      <c r="F127" s="4"/>
      <c r="G127" s="36" t="s">
        <v>125</v>
      </c>
    </row>
    <row r="128" spans="1:7" x14ac:dyDescent="0.25">
      <c r="A128" s="3">
        <v>127</v>
      </c>
      <c r="B128" s="4" t="s">
        <v>627</v>
      </c>
      <c r="C128" s="4"/>
      <c r="D128" s="4"/>
      <c r="E128" s="4"/>
      <c r="F128" s="4"/>
      <c r="G128" s="36" t="s">
        <v>125</v>
      </c>
    </row>
    <row r="129" spans="1:7" x14ac:dyDescent="0.25">
      <c r="A129" s="3">
        <v>120</v>
      </c>
      <c r="B129" s="4" t="s">
        <v>628</v>
      </c>
      <c r="C129" s="4"/>
      <c r="D129" s="4"/>
      <c r="E129" s="4"/>
      <c r="F129" s="4"/>
      <c r="G129" s="36" t="s">
        <v>125</v>
      </c>
    </row>
    <row r="130" spans="1:7" x14ac:dyDescent="0.25">
      <c r="A130" s="3">
        <v>128</v>
      </c>
      <c r="B130" s="4" t="s">
        <v>838</v>
      </c>
      <c r="C130" s="4"/>
      <c r="D130" s="4"/>
      <c r="E130" s="4"/>
      <c r="F130" s="4"/>
      <c r="G130" s="36"/>
    </row>
    <row r="131" spans="1:7" x14ac:dyDescent="0.25">
      <c r="A131" s="3">
        <v>129</v>
      </c>
      <c r="B131" s="4" t="s">
        <v>839</v>
      </c>
      <c r="C131" s="4"/>
      <c r="D131" s="4"/>
      <c r="E131" s="4"/>
      <c r="F131" s="4"/>
      <c r="G131" s="36"/>
    </row>
    <row r="132" spans="1:7" x14ac:dyDescent="0.25">
      <c r="A132" s="3">
        <v>130</v>
      </c>
      <c r="B132" s="4" t="s">
        <v>841</v>
      </c>
      <c r="C132" s="4"/>
      <c r="D132" s="4"/>
      <c r="E132" s="4"/>
      <c r="F132" s="4"/>
      <c r="G132" s="36"/>
    </row>
    <row r="133" spans="1:7" x14ac:dyDescent="0.25">
      <c r="A133" s="3">
        <v>131</v>
      </c>
      <c r="B133" s="4" t="s">
        <v>843</v>
      </c>
      <c r="C133" s="4"/>
      <c r="D133" s="4"/>
      <c r="E133" s="4"/>
      <c r="F133" s="4"/>
      <c r="G133" s="36"/>
    </row>
    <row r="134" spans="1:7" x14ac:dyDescent="0.25">
      <c r="A134" s="3">
        <v>132</v>
      </c>
      <c r="B134" s="4" t="s">
        <v>516</v>
      </c>
      <c r="C134" s="4"/>
      <c r="D134" s="4"/>
      <c r="E134" s="4"/>
      <c r="F134" s="4"/>
      <c r="G134" s="36"/>
    </row>
    <row r="135" spans="1:7" x14ac:dyDescent="0.25">
      <c r="A135" s="3">
        <v>133</v>
      </c>
      <c r="B135" s="4" t="s">
        <v>889</v>
      </c>
      <c r="C135" s="4"/>
      <c r="D135" s="4"/>
      <c r="E135" s="4"/>
      <c r="F135" s="4"/>
      <c r="G135" s="36"/>
    </row>
    <row r="136" spans="1:7" x14ac:dyDescent="0.25">
      <c r="A136" s="3">
        <v>134</v>
      </c>
      <c r="B136" s="4" t="s">
        <v>890</v>
      </c>
      <c r="C136" s="4"/>
      <c r="D136" s="4"/>
      <c r="E136" s="4"/>
      <c r="F136" s="4"/>
      <c r="G136" s="3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6712-E921-40B0-8441-1CA79D4B89AE}">
  <sheetPr codeName="Hoja11"/>
  <dimension ref="A1:J198"/>
  <sheetViews>
    <sheetView topLeftCell="A100" workbookViewId="0">
      <selection activeCell="A94" sqref="A94:H113"/>
    </sheetView>
  </sheetViews>
  <sheetFormatPr baseColWidth="10" defaultRowHeight="15" x14ac:dyDescent="0.25"/>
  <cols>
    <col min="4" max="4" width="17.28515625" customWidth="1"/>
    <col min="5" max="5" width="20.28515625" customWidth="1"/>
    <col min="6" max="6" width="12.7109375" customWidth="1"/>
    <col min="7" max="7" width="13.7109375" bestFit="1" customWidth="1"/>
    <col min="8" max="8" width="55.85546875" bestFit="1" customWidth="1"/>
  </cols>
  <sheetData>
    <row r="1" spans="1:10" x14ac:dyDescent="0.25">
      <c r="A1" s="28" t="s">
        <v>51</v>
      </c>
      <c r="B1" s="29" t="s">
        <v>52</v>
      </c>
      <c r="C1" s="29" t="s">
        <v>99</v>
      </c>
      <c r="D1" s="29" t="s">
        <v>100</v>
      </c>
      <c r="E1" s="29" t="s">
        <v>67</v>
      </c>
      <c r="F1" s="29" t="s">
        <v>101</v>
      </c>
      <c r="G1" s="29" t="s">
        <v>102</v>
      </c>
      <c r="H1" s="30" t="s">
        <v>84</v>
      </c>
    </row>
    <row r="2" spans="1:10" x14ac:dyDescent="0.25">
      <c r="A2" s="32">
        <v>46280</v>
      </c>
      <c r="B2" s="33">
        <v>0.92819444444444443</v>
      </c>
      <c r="C2" s="31" t="s">
        <v>454</v>
      </c>
      <c r="D2" s="31"/>
      <c r="E2" s="31" t="s">
        <v>58</v>
      </c>
      <c r="F2" s="34">
        <v>102350</v>
      </c>
      <c r="G2" s="34">
        <v>0</v>
      </c>
      <c r="H2" s="31" t="s">
        <v>455</v>
      </c>
    </row>
    <row r="3" spans="1:10" x14ac:dyDescent="0.25">
      <c r="A3" s="32">
        <v>46280</v>
      </c>
      <c r="B3" s="33">
        <v>0.92819444444444443</v>
      </c>
      <c r="C3" s="31" t="s">
        <v>454</v>
      </c>
      <c r="D3" s="31"/>
      <c r="E3" s="31" t="s">
        <v>456</v>
      </c>
      <c r="F3" s="34">
        <v>552337</v>
      </c>
      <c r="G3" s="34">
        <v>0</v>
      </c>
      <c r="H3" s="31" t="s">
        <v>457</v>
      </c>
    </row>
    <row r="4" spans="1:10" x14ac:dyDescent="0.25">
      <c r="A4" s="32">
        <v>46280</v>
      </c>
      <c r="B4" s="33">
        <v>0.93962962962962959</v>
      </c>
      <c r="C4" s="31" t="s">
        <v>460</v>
      </c>
      <c r="D4" s="31"/>
      <c r="E4" s="31" t="s">
        <v>58</v>
      </c>
      <c r="F4" s="34">
        <v>102350</v>
      </c>
      <c r="G4" s="34">
        <v>0</v>
      </c>
      <c r="H4" s="31" t="s">
        <v>461</v>
      </c>
    </row>
    <row r="5" spans="1:10" x14ac:dyDescent="0.25">
      <c r="A5" s="32">
        <v>46280</v>
      </c>
      <c r="B5" s="33">
        <v>0.93962962962962959</v>
      </c>
      <c r="C5" s="31" t="s">
        <v>460</v>
      </c>
      <c r="D5" s="31"/>
      <c r="E5" s="31" t="s">
        <v>456</v>
      </c>
      <c r="F5" s="34">
        <v>552337</v>
      </c>
      <c r="G5" s="34">
        <v>0</v>
      </c>
      <c r="H5" s="31" t="s">
        <v>462</v>
      </c>
    </row>
    <row r="6" spans="1:10" x14ac:dyDescent="0.25">
      <c r="A6" s="32">
        <v>46281</v>
      </c>
      <c r="B6" s="33">
        <v>0.72290509259259261</v>
      </c>
      <c r="C6" s="31" t="s">
        <v>454</v>
      </c>
      <c r="D6" s="31"/>
      <c r="E6" s="31" t="s">
        <v>58</v>
      </c>
      <c r="F6" s="34">
        <v>102350</v>
      </c>
      <c r="G6" s="34">
        <v>0</v>
      </c>
      <c r="H6" s="31" t="s">
        <v>455</v>
      </c>
    </row>
    <row r="7" spans="1:10" x14ac:dyDescent="0.25">
      <c r="A7" s="32">
        <v>46281</v>
      </c>
      <c r="B7" s="33">
        <v>0.72290509259259261</v>
      </c>
      <c r="C7" s="31" t="s">
        <v>454</v>
      </c>
      <c r="D7" s="31"/>
      <c r="E7" s="31" t="s">
        <v>456</v>
      </c>
      <c r="F7" s="34">
        <v>555850</v>
      </c>
      <c r="G7" s="34">
        <v>0</v>
      </c>
      <c r="H7" s="31" t="s">
        <v>457</v>
      </c>
    </row>
    <row r="8" spans="1:10" x14ac:dyDescent="0.25">
      <c r="A8" s="32">
        <v>46281</v>
      </c>
      <c r="B8" s="33">
        <v>0.99998842592592596</v>
      </c>
      <c r="C8" s="31" t="s">
        <v>460</v>
      </c>
      <c r="D8" s="31"/>
      <c r="E8" s="31" t="s">
        <v>58</v>
      </c>
      <c r="F8" s="34">
        <v>347050</v>
      </c>
      <c r="G8" s="34">
        <v>0</v>
      </c>
      <c r="H8" s="31" t="s">
        <v>489</v>
      </c>
    </row>
    <row r="9" spans="1:10" x14ac:dyDescent="0.25">
      <c r="A9" s="32">
        <v>46281</v>
      </c>
      <c r="B9" s="33">
        <v>0.99998842592592596</v>
      </c>
      <c r="C9" s="31" t="s">
        <v>460</v>
      </c>
      <c r="D9" s="31"/>
      <c r="E9" s="31" t="s">
        <v>456</v>
      </c>
      <c r="F9" s="34">
        <v>144854</v>
      </c>
      <c r="G9" s="34">
        <v>0</v>
      </c>
      <c r="H9" s="31" t="s">
        <v>490</v>
      </c>
    </row>
    <row r="10" spans="1:10" x14ac:dyDescent="0.25">
      <c r="A10" s="32">
        <v>46281</v>
      </c>
      <c r="B10" s="33">
        <v>0.65689814814814818</v>
      </c>
      <c r="C10" s="31" t="s">
        <v>102</v>
      </c>
      <c r="D10" s="31"/>
      <c r="E10" s="31" t="s">
        <v>258</v>
      </c>
      <c r="F10" s="34">
        <v>0</v>
      </c>
      <c r="G10" s="34">
        <v>80600</v>
      </c>
      <c r="H10" s="31" t="s">
        <v>508</v>
      </c>
    </row>
    <row r="11" spans="1:10" x14ac:dyDescent="0.25">
      <c r="A11" s="32">
        <v>46282</v>
      </c>
      <c r="B11" s="33">
        <v>0.62047453703703703</v>
      </c>
      <c r="C11" s="31" t="s">
        <v>454</v>
      </c>
      <c r="D11" s="31"/>
      <c r="E11" s="31" t="s">
        <v>58</v>
      </c>
      <c r="F11" s="34">
        <v>347050</v>
      </c>
      <c r="G11" s="34">
        <v>0</v>
      </c>
      <c r="H11" s="31" t="s">
        <v>455</v>
      </c>
      <c r="J11">
        <f>152000+1600</f>
        <v>153600</v>
      </c>
    </row>
    <row r="12" spans="1:10" x14ac:dyDescent="0.25">
      <c r="A12" s="32">
        <v>46282</v>
      </c>
      <c r="B12" s="33">
        <v>0.62047453703703703</v>
      </c>
      <c r="C12" s="31" t="s">
        <v>454</v>
      </c>
      <c r="D12" s="31"/>
      <c r="E12" s="31" t="s">
        <v>456</v>
      </c>
      <c r="F12" s="34">
        <v>144854</v>
      </c>
      <c r="G12" s="34">
        <v>0</v>
      </c>
      <c r="H12" s="31" t="s">
        <v>457</v>
      </c>
    </row>
    <row r="13" spans="1:10" x14ac:dyDescent="0.25">
      <c r="A13" s="32">
        <v>46282</v>
      </c>
      <c r="B13" s="33">
        <v>0.79710648148148144</v>
      </c>
      <c r="C13" s="31" t="s">
        <v>102</v>
      </c>
      <c r="D13" s="31"/>
      <c r="E13" s="31" t="s">
        <v>258</v>
      </c>
      <c r="F13" s="34">
        <v>0</v>
      </c>
      <c r="G13" s="34">
        <v>68700</v>
      </c>
      <c r="H13" s="31" t="s">
        <v>487</v>
      </c>
    </row>
    <row r="14" spans="1:10" x14ac:dyDescent="0.25">
      <c r="A14" s="32">
        <v>46283</v>
      </c>
      <c r="B14" s="33">
        <v>0.69611111111111112</v>
      </c>
      <c r="C14" s="31" t="s">
        <v>460</v>
      </c>
      <c r="D14" s="31"/>
      <c r="E14" s="31" t="s">
        <v>58</v>
      </c>
      <c r="F14" s="34">
        <v>497250</v>
      </c>
      <c r="G14" s="34">
        <v>0</v>
      </c>
      <c r="H14" s="31" t="s">
        <v>509</v>
      </c>
    </row>
    <row r="15" spans="1:10" x14ac:dyDescent="0.25">
      <c r="A15" s="32">
        <v>46283</v>
      </c>
      <c r="B15" s="33">
        <v>0.69611111111111112</v>
      </c>
      <c r="C15" s="31" t="s">
        <v>460</v>
      </c>
      <c r="D15" s="31"/>
      <c r="E15" s="31" t="s">
        <v>456</v>
      </c>
      <c r="F15" s="34">
        <v>301854</v>
      </c>
      <c r="G15" s="34">
        <v>0</v>
      </c>
      <c r="H15" s="31" t="s">
        <v>510</v>
      </c>
    </row>
    <row r="16" spans="1:10" x14ac:dyDescent="0.25">
      <c r="A16" s="32">
        <v>46283</v>
      </c>
      <c r="B16" s="33">
        <v>0.71561342592592592</v>
      </c>
      <c r="C16" s="31" t="s">
        <v>102</v>
      </c>
      <c r="D16" s="31"/>
      <c r="E16" s="31" t="s">
        <v>258</v>
      </c>
      <c r="F16" s="34">
        <v>0</v>
      </c>
      <c r="G16" s="34">
        <v>63011</v>
      </c>
      <c r="H16" s="31" t="s">
        <v>511</v>
      </c>
    </row>
    <row r="17" spans="1:8" x14ac:dyDescent="0.25">
      <c r="A17" s="32">
        <v>46283</v>
      </c>
      <c r="B17" s="33">
        <v>0.71604166666666669</v>
      </c>
      <c r="C17" s="31" t="s">
        <v>102</v>
      </c>
      <c r="D17" s="31"/>
      <c r="E17" s="31" t="s">
        <v>258</v>
      </c>
      <c r="F17" s="34">
        <v>0</v>
      </c>
      <c r="G17" s="34">
        <v>44505</v>
      </c>
      <c r="H17" s="31" t="s">
        <v>512</v>
      </c>
    </row>
    <row r="18" spans="1:8" x14ac:dyDescent="0.25">
      <c r="A18" s="32">
        <v>46283</v>
      </c>
      <c r="B18" s="33">
        <v>0.71622685185185186</v>
      </c>
      <c r="C18" s="31" t="s">
        <v>102</v>
      </c>
      <c r="D18" s="31"/>
      <c r="E18" s="31" t="s">
        <v>258</v>
      </c>
      <c r="F18" s="34">
        <v>0</v>
      </c>
      <c r="G18" s="34">
        <v>44505</v>
      </c>
      <c r="H18" s="31" t="s">
        <v>513</v>
      </c>
    </row>
    <row r="19" spans="1:8" x14ac:dyDescent="0.25">
      <c r="A19" s="32">
        <v>46283</v>
      </c>
      <c r="B19" s="33">
        <v>0.82747685185185182</v>
      </c>
      <c r="C19" s="31" t="s">
        <v>454</v>
      </c>
      <c r="D19" s="31"/>
      <c r="E19" s="31" t="s">
        <v>58</v>
      </c>
      <c r="F19" s="34">
        <v>497900</v>
      </c>
      <c r="G19" s="34">
        <v>0</v>
      </c>
      <c r="H19" s="31" t="s">
        <v>455</v>
      </c>
    </row>
    <row r="20" spans="1:8" x14ac:dyDescent="0.25">
      <c r="A20" s="32">
        <v>46283</v>
      </c>
      <c r="B20" s="33">
        <v>0.82747685185185182</v>
      </c>
      <c r="C20" s="31" t="s">
        <v>454</v>
      </c>
      <c r="D20" s="31"/>
      <c r="E20" s="31" t="s">
        <v>456</v>
      </c>
      <c r="F20" s="34">
        <v>301854</v>
      </c>
      <c r="G20" s="34">
        <v>0</v>
      </c>
      <c r="H20" s="31" t="s">
        <v>457</v>
      </c>
    </row>
    <row r="21" spans="1:8" x14ac:dyDescent="0.25">
      <c r="A21" s="32">
        <v>46284</v>
      </c>
      <c r="B21" s="33">
        <v>0.64847222222222223</v>
      </c>
      <c r="C21" s="31" t="s">
        <v>460</v>
      </c>
      <c r="D21" s="31"/>
      <c r="E21" s="31" t="s">
        <v>58</v>
      </c>
      <c r="F21" s="34">
        <v>650500</v>
      </c>
      <c r="G21" s="34">
        <v>0</v>
      </c>
      <c r="H21" s="31" t="s">
        <v>551</v>
      </c>
    </row>
    <row r="22" spans="1:8" x14ac:dyDescent="0.25">
      <c r="A22" s="32">
        <v>46284</v>
      </c>
      <c r="B22" s="33">
        <v>0.64847222222222223</v>
      </c>
      <c r="C22" s="31" t="s">
        <v>460</v>
      </c>
      <c r="D22" s="31"/>
      <c r="E22" s="31" t="s">
        <v>456</v>
      </c>
      <c r="F22" s="34">
        <v>506854</v>
      </c>
      <c r="G22" s="34">
        <v>0</v>
      </c>
      <c r="H22" s="31" t="s">
        <v>552</v>
      </c>
    </row>
    <row r="23" spans="1:8" x14ac:dyDescent="0.25">
      <c r="A23" s="32">
        <v>46284</v>
      </c>
      <c r="B23" s="33">
        <v>0.64943287037037034</v>
      </c>
      <c r="C23" s="31" t="s">
        <v>454</v>
      </c>
      <c r="D23" s="31"/>
      <c r="E23" s="31" t="s">
        <v>58</v>
      </c>
      <c r="F23" s="34">
        <v>650500</v>
      </c>
      <c r="G23" s="34">
        <v>0</v>
      </c>
      <c r="H23" s="31" t="s">
        <v>455</v>
      </c>
    </row>
    <row r="24" spans="1:8" x14ac:dyDescent="0.25">
      <c r="A24" s="32">
        <v>46284</v>
      </c>
      <c r="B24" s="33">
        <v>0.64943287037037034</v>
      </c>
      <c r="C24" s="31" t="s">
        <v>454</v>
      </c>
      <c r="D24" s="31"/>
      <c r="E24" s="31" t="s">
        <v>456</v>
      </c>
      <c r="F24" s="34">
        <v>506854</v>
      </c>
      <c r="G24" s="34">
        <v>0</v>
      </c>
      <c r="H24" s="31" t="s">
        <v>457</v>
      </c>
    </row>
    <row r="25" spans="1:8" x14ac:dyDescent="0.25">
      <c r="A25" s="32">
        <v>46284</v>
      </c>
      <c r="B25" s="33">
        <v>0.65565972222222224</v>
      </c>
      <c r="C25" s="31" t="s">
        <v>102</v>
      </c>
      <c r="D25" s="31"/>
      <c r="E25" s="31" t="s">
        <v>258</v>
      </c>
      <c r="F25" s="34">
        <v>0</v>
      </c>
      <c r="G25" s="34">
        <v>68700</v>
      </c>
      <c r="H25" s="31" t="s">
        <v>487</v>
      </c>
    </row>
    <row r="26" spans="1:8" x14ac:dyDescent="0.25">
      <c r="A26" s="32">
        <v>46284</v>
      </c>
      <c r="B26" s="33">
        <v>0.65591435185185187</v>
      </c>
      <c r="C26" s="31" t="s">
        <v>102</v>
      </c>
      <c r="D26" s="31"/>
      <c r="E26" s="31" t="s">
        <v>258</v>
      </c>
      <c r="F26" s="34">
        <v>0</v>
      </c>
      <c r="G26" s="34">
        <v>89010</v>
      </c>
      <c r="H26" s="31" t="s">
        <v>553</v>
      </c>
    </row>
    <row r="27" spans="1:8" x14ac:dyDescent="0.25">
      <c r="A27" s="32">
        <v>46284</v>
      </c>
      <c r="B27" s="33">
        <v>0.66178240740740746</v>
      </c>
      <c r="C27" s="31" t="s">
        <v>102</v>
      </c>
      <c r="D27" s="31"/>
      <c r="E27" s="31" t="s">
        <v>258</v>
      </c>
      <c r="F27" s="34">
        <v>0</v>
      </c>
      <c r="G27" s="34">
        <v>30200</v>
      </c>
      <c r="H27" s="31" t="s">
        <v>554</v>
      </c>
    </row>
    <row r="28" spans="1:8" x14ac:dyDescent="0.25">
      <c r="A28" s="32">
        <v>46284</v>
      </c>
      <c r="B28" s="33">
        <v>0.6640625</v>
      </c>
      <c r="C28" s="31" t="s">
        <v>102</v>
      </c>
      <c r="D28" s="31" t="s">
        <v>555</v>
      </c>
      <c r="E28" s="31" t="s">
        <v>258</v>
      </c>
      <c r="F28" s="34">
        <v>0</v>
      </c>
      <c r="G28" s="34">
        <v>77145</v>
      </c>
      <c r="H28" s="31" t="s">
        <v>557</v>
      </c>
    </row>
    <row r="29" spans="1:8" x14ac:dyDescent="0.25">
      <c r="A29" s="32">
        <v>46284</v>
      </c>
      <c r="B29" s="33">
        <v>0.72074074074074079</v>
      </c>
      <c r="C29" s="31" t="s">
        <v>102</v>
      </c>
      <c r="D29" s="31"/>
      <c r="E29" s="31" t="s">
        <v>281</v>
      </c>
      <c r="F29" s="34">
        <v>0</v>
      </c>
      <c r="G29" s="34">
        <v>96720</v>
      </c>
      <c r="H29" s="31" t="s">
        <v>508</v>
      </c>
    </row>
    <row r="30" spans="1:8" x14ac:dyDescent="0.25">
      <c r="A30" s="32">
        <v>46285</v>
      </c>
      <c r="B30" s="33">
        <v>0.86737268518518518</v>
      </c>
      <c r="C30" s="31" t="s">
        <v>460</v>
      </c>
      <c r="D30" s="31"/>
      <c r="E30" s="31" t="s">
        <v>58</v>
      </c>
      <c r="F30" s="34">
        <v>495100</v>
      </c>
      <c r="G30" s="34">
        <v>0</v>
      </c>
      <c r="H30" s="31" t="s">
        <v>571</v>
      </c>
    </row>
    <row r="31" spans="1:8" x14ac:dyDescent="0.25">
      <c r="A31" s="32">
        <v>46285</v>
      </c>
      <c r="B31" s="33">
        <v>0.86737268518518518</v>
      </c>
      <c r="C31" s="31" t="s">
        <v>460</v>
      </c>
      <c r="D31" s="31"/>
      <c r="E31" s="31" t="s">
        <v>456</v>
      </c>
      <c r="F31" s="34">
        <v>495934</v>
      </c>
      <c r="G31" s="34">
        <v>0</v>
      </c>
      <c r="H31" s="31" t="s">
        <v>572</v>
      </c>
    </row>
    <row r="32" spans="1:8" x14ac:dyDescent="0.25">
      <c r="A32" s="32">
        <v>46288</v>
      </c>
      <c r="B32" s="33">
        <v>0.64804398148148146</v>
      </c>
      <c r="C32" s="31" t="s">
        <v>454</v>
      </c>
      <c r="D32" s="31"/>
      <c r="E32" s="31" t="s">
        <v>58</v>
      </c>
      <c r="F32" s="34">
        <v>369000</v>
      </c>
      <c r="G32" s="34">
        <v>0</v>
      </c>
      <c r="H32" s="31" t="s">
        <v>455</v>
      </c>
    </row>
    <row r="33" spans="1:8" x14ac:dyDescent="0.25">
      <c r="A33" s="32">
        <v>46288</v>
      </c>
      <c r="B33" s="33">
        <v>0.64804398148148146</v>
      </c>
      <c r="C33" s="31" t="s">
        <v>454</v>
      </c>
      <c r="D33" s="31"/>
      <c r="E33" s="31" t="s">
        <v>456</v>
      </c>
      <c r="F33" s="34">
        <v>91263</v>
      </c>
      <c r="G33" s="34">
        <v>0</v>
      </c>
      <c r="H33" s="31" t="s">
        <v>457</v>
      </c>
    </row>
    <row r="34" spans="1:8" x14ac:dyDescent="0.25">
      <c r="A34" s="32">
        <v>46288</v>
      </c>
      <c r="B34" s="33">
        <v>0.97141203703703705</v>
      </c>
      <c r="C34" s="31" t="s">
        <v>102</v>
      </c>
      <c r="D34" s="31"/>
      <c r="E34" s="31" t="s">
        <v>258</v>
      </c>
      <c r="F34" s="34">
        <v>0</v>
      </c>
      <c r="G34" s="34">
        <v>63011</v>
      </c>
      <c r="H34" s="31" t="s">
        <v>511</v>
      </c>
    </row>
    <row r="35" spans="1:8" x14ac:dyDescent="0.25">
      <c r="A35" s="32">
        <v>46288</v>
      </c>
      <c r="B35" s="33">
        <v>0.97281249999999997</v>
      </c>
      <c r="C35" s="31" t="s">
        <v>102</v>
      </c>
      <c r="D35" s="31" t="s">
        <v>574</v>
      </c>
      <c r="E35" s="31" t="s">
        <v>258</v>
      </c>
      <c r="F35" s="34">
        <v>0</v>
      </c>
      <c r="G35" s="34">
        <v>35000</v>
      </c>
      <c r="H35" s="31" t="s">
        <v>575</v>
      </c>
    </row>
    <row r="36" spans="1:8" x14ac:dyDescent="0.25">
      <c r="A36" s="32">
        <v>46288</v>
      </c>
      <c r="B36" s="33">
        <v>0.97370370370370374</v>
      </c>
      <c r="C36" s="31" t="s">
        <v>102</v>
      </c>
      <c r="D36" s="31" t="s">
        <v>576</v>
      </c>
      <c r="E36" s="31" t="s">
        <v>258</v>
      </c>
      <c r="F36" s="34">
        <v>0</v>
      </c>
      <c r="G36" s="34">
        <v>36000</v>
      </c>
      <c r="H36" s="31" t="s">
        <v>577</v>
      </c>
    </row>
    <row r="37" spans="1:8" x14ac:dyDescent="0.25">
      <c r="A37" s="32">
        <v>46288</v>
      </c>
      <c r="B37" s="33">
        <v>0.97432870370370372</v>
      </c>
      <c r="C37" s="31" t="s">
        <v>102</v>
      </c>
      <c r="D37" s="31" t="s">
        <v>578</v>
      </c>
      <c r="E37" s="31" t="s">
        <v>258</v>
      </c>
      <c r="F37" s="34">
        <v>0</v>
      </c>
      <c r="G37" s="34">
        <v>42000</v>
      </c>
      <c r="H37" s="31" t="s">
        <v>579</v>
      </c>
    </row>
    <row r="38" spans="1:8" x14ac:dyDescent="0.25">
      <c r="A38" s="32">
        <v>46288</v>
      </c>
      <c r="B38" s="33">
        <v>0.97498842592592594</v>
      </c>
      <c r="C38" s="31" t="s">
        <v>102</v>
      </c>
      <c r="D38" s="31" t="s">
        <v>580</v>
      </c>
      <c r="E38" s="31" t="s">
        <v>258</v>
      </c>
      <c r="F38" s="34">
        <v>0</v>
      </c>
      <c r="G38" s="34">
        <v>38000</v>
      </c>
      <c r="H38" s="31" t="s">
        <v>581</v>
      </c>
    </row>
    <row r="39" spans="1:8" x14ac:dyDescent="0.25">
      <c r="A39" s="32">
        <v>46288</v>
      </c>
      <c r="B39" s="33">
        <v>0.97591435185185182</v>
      </c>
      <c r="C39" s="31" t="s">
        <v>102</v>
      </c>
      <c r="D39" s="31" t="s">
        <v>582</v>
      </c>
      <c r="E39" s="31" t="s">
        <v>281</v>
      </c>
      <c r="F39" s="34">
        <v>0</v>
      </c>
      <c r="G39" s="34">
        <v>10000</v>
      </c>
      <c r="H39" s="31" t="s">
        <v>583</v>
      </c>
    </row>
    <row r="40" spans="1:8" x14ac:dyDescent="0.25">
      <c r="A40" s="32">
        <v>46288</v>
      </c>
      <c r="B40" s="33">
        <v>0.97697916666666662</v>
      </c>
      <c r="C40" s="31" t="s">
        <v>102</v>
      </c>
      <c r="D40" s="31" t="s">
        <v>584</v>
      </c>
      <c r="E40" s="31" t="s">
        <v>281</v>
      </c>
      <c r="F40" s="34">
        <v>0</v>
      </c>
      <c r="G40" s="34">
        <v>97600</v>
      </c>
      <c r="H40" s="31" t="s">
        <v>585</v>
      </c>
    </row>
    <row r="41" spans="1:8" x14ac:dyDescent="0.25">
      <c r="A41" s="32">
        <v>46288</v>
      </c>
      <c r="B41" s="33">
        <v>0.97924768518518523</v>
      </c>
      <c r="C41" s="31" t="s">
        <v>102</v>
      </c>
      <c r="D41" s="31" t="s">
        <v>586</v>
      </c>
      <c r="E41" s="31" t="s">
        <v>258</v>
      </c>
      <c r="F41" s="34">
        <v>0</v>
      </c>
      <c r="G41" s="34">
        <v>113000</v>
      </c>
      <c r="H41" s="31" t="s">
        <v>587</v>
      </c>
    </row>
    <row r="42" spans="1:8" x14ac:dyDescent="0.25">
      <c r="A42" s="32">
        <v>46288</v>
      </c>
      <c r="B42" s="33">
        <v>0.97991898148148149</v>
      </c>
      <c r="C42" s="31" t="s">
        <v>102</v>
      </c>
      <c r="D42" s="31" t="s">
        <v>588</v>
      </c>
      <c r="E42" s="31" t="s">
        <v>281</v>
      </c>
      <c r="F42" s="34">
        <v>0</v>
      </c>
      <c r="G42" s="34">
        <v>188000</v>
      </c>
      <c r="H42" s="31" t="s">
        <v>587</v>
      </c>
    </row>
    <row r="43" spans="1:8" x14ac:dyDescent="0.25">
      <c r="A43" s="32">
        <v>46288</v>
      </c>
      <c r="B43" s="33">
        <v>0.99138888888888888</v>
      </c>
      <c r="C43" s="31" t="s">
        <v>102</v>
      </c>
      <c r="D43" s="31" t="s">
        <v>589</v>
      </c>
      <c r="E43" s="31" t="s">
        <v>590</v>
      </c>
      <c r="F43" s="34">
        <v>0</v>
      </c>
      <c r="G43" s="34">
        <v>27000</v>
      </c>
      <c r="H43" s="31" t="s">
        <v>591</v>
      </c>
    </row>
    <row r="44" spans="1:8" x14ac:dyDescent="0.25">
      <c r="A44" s="32">
        <v>46289</v>
      </c>
      <c r="B44" s="33">
        <v>0.61760416666666662</v>
      </c>
      <c r="C44" s="31" t="s">
        <v>460</v>
      </c>
      <c r="D44" s="31"/>
      <c r="E44" s="31" t="s">
        <v>58</v>
      </c>
      <c r="F44" s="34">
        <v>328600</v>
      </c>
      <c r="G44" s="34">
        <v>0</v>
      </c>
      <c r="H44" s="31" t="s">
        <v>592</v>
      </c>
    </row>
    <row r="45" spans="1:8" x14ac:dyDescent="0.25">
      <c r="A45" s="32">
        <v>46289</v>
      </c>
      <c r="B45" s="33">
        <v>0.61760416666666662</v>
      </c>
      <c r="C45" s="31" t="s">
        <v>460</v>
      </c>
      <c r="D45" s="31"/>
      <c r="E45" s="31" t="s">
        <v>456</v>
      </c>
      <c r="F45" s="34">
        <v>196393</v>
      </c>
      <c r="G45" s="34">
        <v>0</v>
      </c>
      <c r="H45" s="31" t="s">
        <v>593</v>
      </c>
    </row>
    <row r="46" spans="1:8" x14ac:dyDescent="0.25">
      <c r="A46" s="32">
        <v>46289</v>
      </c>
      <c r="B46" s="33">
        <v>0.61792824074074071</v>
      </c>
      <c r="C46" s="31" t="s">
        <v>454</v>
      </c>
      <c r="D46" s="31"/>
      <c r="E46" s="31" t="s">
        <v>58</v>
      </c>
      <c r="F46" s="34">
        <v>328600</v>
      </c>
      <c r="G46" s="34">
        <v>0</v>
      </c>
      <c r="H46" s="31" t="s">
        <v>455</v>
      </c>
    </row>
    <row r="47" spans="1:8" x14ac:dyDescent="0.25">
      <c r="A47" s="32">
        <v>46289</v>
      </c>
      <c r="B47" s="33">
        <v>0.61792824074074071</v>
      </c>
      <c r="C47" s="31" t="s">
        <v>454</v>
      </c>
      <c r="D47" s="31"/>
      <c r="E47" s="31" t="s">
        <v>456</v>
      </c>
      <c r="F47" s="34">
        <v>196393</v>
      </c>
      <c r="G47" s="34">
        <v>0</v>
      </c>
      <c r="H47" s="31" t="s">
        <v>457</v>
      </c>
    </row>
    <row r="48" spans="1:8" x14ac:dyDescent="0.25">
      <c r="A48" s="32">
        <v>46290</v>
      </c>
      <c r="B48" s="33">
        <v>0.55017361111111107</v>
      </c>
      <c r="C48" s="31" t="s">
        <v>102</v>
      </c>
      <c r="D48" s="31" t="s">
        <v>594</v>
      </c>
      <c r="E48" s="31" t="s">
        <v>258</v>
      </c>
      <c r="F48" s="34">
        <v>0</v>
      </c>
      <c r="G48" s="34">
        <v>30000</v>
      </c>
      <c r="H48" s="31" t="s">
        <v>595</v>
      </c>
    </row>
    <row r="49" spans="1:8" x14ac:dyDescent="0.25">
      <c r="A49" s="32">
        <v>46290</v>
      </c>
      <c r="B49" s="33">
        <v>0.55075231481481479</v>
      </c>
      <c r="C49" s="31" t="s">
        <v>460</v>
      </c>
      <c r="D49" s="31"/>
      <c r="E49" s="31" t="s">
        <v>58</v>
      </c>
      <c r="F49" s="34">
        <v>310800</v>
      </c>
      <c r="G49" s="34">
        <v>0</v>
      </c>
      <c r="H49" s="31" t="s">
        <v>596</v>
      </c>
    </row>
    <row r="50" spans="1:8" x14ac:dyDescent="0.25">
      <c r="A50" s="32">
        <v>46290</v>
      </c>
      <c r="B50" s="33">
        <v>0.55075231481481479</v>
      </c>
      <c r="C50" s="31" t="s">
        <v>460</v>
      </c>
      <c r="D50" s="31"/>
      <c r="E50" s="31" t="s">
        <v>456</v>
      </c>
      <c r="F50" s="34">
        <v>52513</v>
      </c>
      <c r="G50" s="34">
        <v>0</v>
      </c>
      <c r="H50" s="31" t="s">
        <v>597</v>
      </c>
    </row>
    <row r="51" spans="1:8" x14ac:dyDescent="0.25">
      <c r="A51" s="32">
        <v>46290</v>
      </c>
      <c r="B51" s="33">
        <v>0.55098379629629635</v>
      </c>
      <c r="C51" s="31" t="s">
        <v>454</v>
      </c>
      <c r="D51" s="31"/>
      <c r="E51" s="31" t="s">
        <v>58</v>
      </c>
      <c r="F51" s="34">
        <v>310800</v>
      </c>
      <c r="G51" s="34">
        <v>0</v>
      </c>
      <c r="H51" s="31" t="s">
        <v>455</v>
      </c>
    </row>
    <row r="52" spans="1:8" x14ac:dyDescent="0.25">
      <c r="A52" s="32">
        <v>46290</v>
      </c>
      <c r="B52" s="33">
        <v>0.55098379629629635</v>
      </c>
      <c r="C52" s="31" t="s">
        <v>454</v>
      </c>
      <c r="D52" s="31"/>
      <c r="E52" s="31" t="s">
        <v>456</v>
      </c>
      <c r="F52" s="34">
        <v>52513</v>
      </c>
      <c r="G52" s="34">
        <v>0</v>
      </c>
      <c r="H52" s="31" t="s">
        <v>457</v>
      </c>
    </row>
    <row r="53" spans="1:8" x14ac:dyDescent="0.25">
      <c r="A53" s="32">
        <v>46291</v>
      </c>
      <c r="B53" s="33">
        <v>0.64825231481481482</v>
      </c>
      <c r="C53" s="31" t="s">
        <v>460</v>
      </c>
      <c r="D53" s="31"/>
      <c r="E53" s="31" t="s">
        <v>58</v>
      </c>
      <c r="F53" s="34">
        <v>427550</v>
      </c>
      <c r="G53" s="34">
        <v>0</v>
      </c>
      <c r="H53" s="31" t="s">
        <v>598</v>
      </c>
    </row>
    <row r="54" spans="1:8" x14ac:dyDescent="0.25">
      <c r="A54" s="32">
        <v>46291</v>
      </c>
      <c r="B54" s="33">
        <v>0.64825231481481482</v>
      </c>
      <c r="C54" s="31" t="s">
        <v>460</v>
      </c>
      <c r="D54" s="31"/>
      <c r="E54" s="31" t="s">
        <v>456</v>
      </c>
      <c r="F54" s="34">
        <v>202000</v>
      </c>
      <c r="G54" s="34">
        <v>0</v>
      </c>
      <c r="H54" s="31" t="s">
        <v>599</v>
      </c>
    </row>
    <row r="55" spans="1:8" x14ac:dyDescent="0.25">
      <c r="A55" s="32">
        <v>46291</v>
      </c>
      <c r="B55" s="33">
        <v>0.64851851851851849</v>
      </c>
      <c r="C55" s="31" t="s">
        <v>454</v>
      </c>
      <c r="D55" s="31"/>
      <c r="E55" s="31" t="s">
        <v>58</v>
      </c>
      <c r="F55" s="34">
        <v>427550</v>
      </c>
      <c r="G55" s="34">
        <v>0</v>
      </c>
      <c r="H55" s="31" t="s">
        <v>455</v>
      </c>
    </row>
    <row r="56" spans="1:8" x14ac:dyDescent="0.25">
      <c r="A56" s="32">
        <v>46291</v>
      </c>
      <c r="B56" s="33">
        <v>0.64851851851851849</v>
      </c>
      <c r="C56" s="31" t="s">
        <v>454</v>
      </c>
      <c r="D56" s="31"/>
      <c r="E56" s="31" t="s">
        <v>456</v>
      </c>
      <c r="F56" s="34">
        <v>202000</v>
      </c>
      <c r="G56" s="34">
        <v>0</v>
      </c>
      <c r="H56" s="31" t="s">
        <v>457</v>
      </c>
    </row>
    <row r="57" spans="1:8" x14ac:dyDescent="0.25">
      <c r="A57" s="32">
        <v>46291</v>
      </c>
      <c r="B57" s="33">
        <v>0.6791666666666667</v>
      </c>
      <c r="C57" s="31" t="s">
        <v>102</v>
      </c>
      <c r="D57" s="31" t="s">
        <v>600</v>
      </c>
      <c r="E57" s="31" t="s">
        <v>281</v>
      </c>
      <c r="F57" s="34">
        <v>0</v>
      </c>
      <c r="G57" s="34">
        <v>15000</v>
      </c>
      <c r="H57" s="31" t="s">
        <v>601</v>
      </c>
    </row>
    <row r="58" spans="1:8" x14ac:dyDescent="0.25">
      <c r="A58" s="32">
        <v>46291</v>
      </c>
      <c r="B58" s="33">
        <v>0.6799884259259259</v>
      </c>
      <c r="C58" s="31" t="s">
        <v>102</v>
      </c>
      <c r="D58" s="31" t="s">
        <v>602</v>
      </c>
      <c r="E58" s="31" t="s">
        <v>281</v>
      </c>
      <c r="F58" s="34">
        <v>0</v>
      </c>
      <c r="G58" s="34">
        <v>22550</v>
      </c>
      <c r="H58" s="31" t="s">
        <v>603</v>
      </c>
    </row>
    <row r="59" spans="1:8" x14ac:dyDescent="0.25">
      <c r="A59" s="32">
        <v>46291</v>
      </c>
      <c r="B59" s="33">
        <v>0.6830208333333333</v>
      </c>
      <c r="C59" s="31" t="s">
        <v>102</v>
      </c>
      <c r="D59" s="31" t="s">
        <v>604</v>
      </c>
      <c r="E59" s="31" t="s">
        <v>281</v>
      </c>
      <c r="F59" s="34">
        <v>0</v>
      </c>
      <c r="G59" s="34">
        <v>47000</v>
      </c>
      <c r="H59" s="31" t="s">
        <v>605</v>
      </c>
    </row>
    <row r="60" spans="1:8" x14ac:dyDescent="0.25">
      <c r="A60" s="32">
        <v>46291</v>
      </c>
      <c r="B60" s="33">
        <v>0.68361111111111106</v>
      </c>
      <c r="C60" s="31" t="s">
        <v>102</v>
      </c>
      <c r="D60" s="31" t="s">
        <v>606</v>
      </c>
      <c r="E60" s="31" t="s">
        <v>281</v>
      </c>
      <c r="F60" s="34">
        <v>0</v>
      </c>
      <c r="G60" s="34">
        <v>15000</v>
      </c>
      <c r="H60" s="31" t="s">
        <v>607</v>
      </c>
    </row>
    <row r="61" spans="1:8" x14ac:dyDescent="0.25">
      <c r="A61" s="32">
        <v>46291</v>
      </c>
      <c r="B61" s="33">
        <v>0.68380787037037039</v>
      </c>
      <c r="C61" s="31" t="s">
        <v>102</v>
      </c>
      <c r="D61" s="31" t="s">
        <v>608</v>
      </c>
      <c r="E61" s="31" t="s">
        <v>281</v>
      </c>
      <c r="F61" s="34">
        <v>0</v>
      </c>
      <c r="G61" s="34">
        <v>7500</v>
      </c>
      <c r="H61" s="31" t="s">
        <v>609</v>
      </c>
    </row>
    <row r="62" spans="1:8" x14ac:dyDescent="0.25">
      <c r="A62" s="32">
        <v>46292</v>
      </c>
      <c r="B62" s="33">
        <v>0.47258101851851853</v>
      </c>
      <c r="C62" s="31" t="s">
        <v>460</v>
      </c>
      <c r="D62" s="31"/>
      <c r="E62" s="31" t="s">
        <v>58</v>
      </c>
      <c r="F62" s="34">
        <v>656250</v>
      </c>
      <c r="G62" s="34">
        <v>0</v>
      </c>
      <c r="H62" s="31" t="s">
        <v>610</v>
      </c>
    </row>
    <row r="63" spans="1:8" x14ac:dyDescent="0.25">
      <c r="A63" s="32">
        <v>46292</v>
      </c>
      <c r="B63" s="33">
        <v>0.47258101851851853</v>
      </c>
      <c r="C63" s="31" t="s">
        <v>460</v>
      </c>
      <c r="D63" s="31"/>
      <c r="E63" s="31" t="s">
        <v>456</v>
      </c>
      <c r="F63" s="34">
        <v>205327</v>
      </c>
      <c r="G63" s="34">
        <v>0</v>
      </c>
      <c r="H63" s="31" t="s">
        <v>611</v>
      </c>
    </row>
    <row r="64" spans="1:8" x14ac:dyDescent="0.25">
      <c r="A64" s="32">
        <v>46292</v>
      </c>
      <c r="B64" s="33">
        <v>0.47304398148148147</v>
      </c>
      <c r="C64" s="31" t="s">
        <v>454</v>
      </c>
      <c r="D64" s="31"/>
      <c r="E64" s="31" t="s">
        <v>58</v>
      </c>
      <c r="F64" s="34">
        <v>656250</v>
      </c>
      <c r="G64" s="34">
        <v>0</v>
      </c>
      <c r="H64" s="31" t="s">
        <v>455</v>
      </c>
    </row>
    <row r="65" spans="1:8" x14ac:dyDescent="0.25">
      <c r="A65" s="32">
        <v>46292</v>
      </c>
      <c r="B65" s="33">
        <v>0.47304398148148147</v>
      </c>
      <c r="C65" s="31" t="s">
        <v>454</v>
      </c>
      <c r="D65" s="31"/>
      <c r="E65" s="31" t="s">
        <v>456</v>
      </c>
      <c r="F65" s="34">
        <v>205327</v>
      </c>
      <c r="G65" s="34">
        <v>0</v>
      </c>
      <c r="H65" s="31" t="s">
        <v>457</v>
      </c>
    </row>
    <row r="66" spans="1:8" x14ac:dyDescent="0.25">
      <c r="A66" s="32">
        <v>46295</v>
      </c>
      <c r="B66" s="33">
        <v>0.66584490740740743</v>
      </c>
      <c r="C66" s="31" t="s">
        <v>460</v>
      </c>
      <c r="D66" s="31"/>
      <c r="E66" s="31" t="s">
        <v>58</v>
      </c>
      <c r="F66" s="34">
        <v>518650</v>
      </c>
      <c r="G66" s="34">
        <v>0</v>
      </c>
      <c r="H66" s="31" t="s">
        <v>781</v>
      </c>
    </row>
    <row r="67" spans="1:8" x14ac:dyDescent="0.25">
      <c r="A67" s="32">
        <v>46295</v>
      </c>
      <c r="B67" s="33">
        <v>0.66584490740740743</v>
      </c>
      <c r="C67" s="31" t="s">
        <v>460</v>
      </c>
      <c r="D67" s="31"/>
      <c r="E67" s="31" t="s">
        <v>456</v>
      </c>
      <c r="F67" s="34">
        <v>122914</v>
      </c>
      <c r="G67" s="34">
        <v>0</v>
      </c>
      <c r="H67" s="31" t="s">
        <v>782</v>
      </c>
    </row>
    <row r="68" spans="1:8" x14ac:dyDescent="0.25">
      <c r="A68" s="32">
        <v>46295</v>
      </c>
      <c r="B68" s="33">
        <v>0.66672453703703705</v>
      </c>
      <c r="C68" s="31" t="s">
        <v>454</v>
      </c>
      <c r="D68" s="31"/>
      <c r="E68" s="31" t="s">
        <v>58</v>
      </c>
      <c r="F68" s="34">
        <v>518650</v>
      </c>
      <c r="G68" s="34">
        <v>0</v>
      </c>
      <c r="H68" s="31" t="s">
        <v>455</v>
      </c>
    </row>
    <row r="69" spans="1:8" x14ac:dyDescent="0.25">
      <c r="A69" s="32">
        <v>46295</v>
      </c>
      <c r="B69" s="33">
        <v>0.66672453703703705</v>
      </c>
      <c r="C69" s="31" t="s">
        <v>454</v>
      </c>
      <c r="D69" s="31"/>
      <c r="E69" s="31" t="s">
        <v>456</v>
      </c>
      <c r="F69" s="34">
        <v>122914</v>
      </c>
      <c r="G69" s="34">
        <v>0</v>
      </c>
      <c r="H69" s="31" t="s">
        <v>457</v>
      </c>
    </row>
    <row r="70" spans="1:8" x14ac:dyDescent="0.25">
      <c r="A70" s="32">
        <v>46295</v>
      </c>
      <c r="B70" s="33">
        <v>0.70890046296296294</v>
      </c>
      <c r="C70" s="31" t="s">
        <v>102</v>
      </c>
      <c r="D70" s="31"/>
      <c r="E70" s="31" t="s">
        <v>258</v>
      </c>
      <c r="F70" s="34">
        <v>0</v>
      </c>
      <c r="G70" s="34">
        <v>80600</v>
      </c>
      <c r="H70" s="31" t="s">
        <v>508</v>
      </c>
    </row>
    <row r="71" spans="1:8" x14ac:dyDescent="0.25">
      <c r="A71" s="32">
        <v>46295</v>
      </c>
      <c r="B71" s="33">
        <v>0.71079861111111109</v>
      </c>
      <c r="C71" s="31" t="s">
        <v>102</v>
      </c>
      <c r="D71" s="31" t="s">
        <v>745</v>
      </c>
      <c r="E71" s="31" t="s">
        <v>258</v>
      </c>
      <c r="F71" s="34">
        <v>0</v>
      </c>
      <c r="G71" s="34">
        <v>9000</v>
      </c>
      <c r="H71" s="31" t="s">
        <v>783</v>
      </c>
    </row>
    <row r="72" spans="1:8" x14ac:dyDescent="0.25">
      <c r="A72" s="32">
        <v>46295</v>
      </c>
      <c r="B72" s="33">
        <v>0.71106481481481476</v>
      </c>
      <c r="C72" s="31" t="s">
        <v>102</v>
      </c>
      <c r="D72" s="31" t="s">
        <v>747</v>
      </c>
      <c r="E72" s="31" t="s">
        <v>258</v>
      </c>
      <c r="F72" s="34">
        <v>0</v>
      </c>
      <c r="G72" s="34">
        <v>3500</v>
      </c>
      <c r="H72" s="31" t="s">
        <v>784</v>
      </c>
    </row>
    <row r="73" spans="1:8" x14ac:dyDescent="0.25">
      <c r="A73" s="32">
        <v>46295</v>
      </c>
      <c r="B73" s="33">
        <v>0.94994212962962965</v>
      </c>
      <c r="C73" s="31" t="s">
        <v>102</v>
      </c>
      <c r="D73" s="31"/>
      <c r="E73" s="31" t="s">
        <v>258</v>
      </c>
      <c r="F73" s="34">
        <v>0</v>
      </c>
      <c r="G73" s="34">
        <v>16000</v>
      </c>
      <c r="H73" s="31" t="s">
        <v>785</v>
      </c>
    </row>
    <row r="74" spans="1:8" x14ac:dyDescent="0.25">
      <c r="A74" s="32">
        <v>46296</v>
      </c>
      <c r="B74" s="33">
        <v>0.65856481481481477</v>
      </c>
      <c r="C74" s="31" t="s">
        <v>460</v>
      </c>
      <c r="D74" s="31"/>
      <c r="E74" s="31" t="s">
        <v>58</v>
      </c>
      <c r="F74" s="34">
        <v>419750</v>
      </c>
      <c r="G74" s="34">
        <v>0</v>
      </c>
      <c r="H74" s="31" t="s">
        <v>786</v>
      </c>
    </row>
    <row r="75" spans="1:8" x14ac:dyDescent="0.25">
      <c r="A75" s="32">
        <v>46296</v>
      </c>
      <c r="B75" s="33">
        <v>0.65856481481481477</v>
      </c>
      <c r="C75" s="31" t="s">
        <v>460</v>
      </c>
      <c r="D75" s="31"/>
      <c r="E75" s="31" t="s">
        <v>456</v>
      </c>
      <c r="F75" s="34">
        <v>358000</v>
      </c>
      <c r="G75" s="34">
        <v>0</v>
      </c>
      <c r="H75" s="31" t="s">
        <v>787</v>
      </c>
    </row>
    <row r="76" spans="1:8" x14ac:dyDescent="0.25">
      <c r="A76" s="32">
        <v>46296</v>
      </c>
      <c r="B76" s="33">
        <v>0.65930555555555559</v>
      </c>
      <c r="C76" s="31" t="s">
        <v>454</v>
      </c>
      <c r="D76" s="31"/>
      <c r="E76" s="31" t="s">
        <v>58</v>
      </c>
      <c r="F76" s="34">
        <v>419750</v>
      </c>
      <c r="G76" s="34">
        <v>0</v>
      </c>
      <c r="H76" s="31" t="s">
        <v>455</v>
      </c>
    </row>
    <row r="77" spans="1:8" x14ac:dyDescent="0.25">
      <c r="A77" s="32">
        <v>46296</v>
      </c>
      <c r="B77" s="33">
        <v>0.65930555555555559</v>
      </c>
      <c r="C77" s="31" t="s">
        <v>454</v>
      </c>
      <c r="D77" s="31"/>
      <c r="E77" s="31" t="s">
        <v>456</v>
      </c>
      <c r="F77" s="34">
        <v>358000</v>
      </c>
      <c r="G77" s="34">
        <v>0</v>
      </c>
      <c r="H77" s="31" t="s">
        <v>457</v>
      </c>
    </row>
    <row r="78" spans="1:8" x14ac:dyDescent="0.25">
      <c r="A78" s="32">
        <v>46296</v>
      </c>
      <c r="B78" s="33">
        <v>0.80579861111111106</v>
      </c>
      <c r="C78" s="31" t="s">
        <v>102</v>
      </c>
      <c r="D78" s="31"/>
      <c r="E78" s="31" t="s">
        <v>258</v>
      </c>
      <c r="F78" s="34">
        <v>0</v>
      </c>
      <c r="G78" s="34">
        <v>73500</v>
      </c>
      <c r="H78" s="31" t="s">
        <v>788</v>
      </c>
    </row>
    <row r="79" spans="1:8" x14ac:dyDescent="0.25">
      <c r="A79" s="32">
        <v>46296</v>
      </c>
      <c r="B79" s="33">
        <v>0.80600694444444443</v>
      </c>
      <c r="C79" s="31" t="s">
        <v>102</v>
      </c>
      <c r="D79" s="31"/>
      <c r="E79" s="31" t="s">
        <v>258</v>
      </c>
      <c r="F79" s="34">
        <v>0</v>
      </c>
      <c r="G79" s="34">
        <v>68700</v>
      </c>
      <c r="H79" s="31" t="s">
        <v>487</v>
      </c>
    </row>
    <row r="80" spans="1:8" x14ac:dyDescent="0.25">
      <c r="A80" s="32">
        <v>46296</v>
      </c>
      <c r="B80" s="33">
        <v>0.80625000000000002</v>
      </c>
      <c r="C80" s="31" t="s">
        <v>102</v>
      </c>
      <c r="D80" s="31"/>
      <c r="E80" s="31" t="s">
        <v>258</v>
      </c>
      <c r="F80" s="34">
        <v>0</v>
      </c>
      <c r="G80" s="34">
        <v>63011</v>
      </c>
      <c r="H80" s="31" t="s">
        <v>511</v>
      </c>
    </row>
    <row r="81" spans="1:8" x14ac:dyDescent="0.25">
      <c r="A81" s="32">
        <v>46296</v>
      </c>
      <c r="B81" s="33">
        <v>0.80645833333333339</v>
      </c>
      <c r="C81" s="31" t="s">
        <v>102</v>
      </c>
      <c r="D81" s="31"/>
      <c r="E81" s="31" t="s">
        <v>258</v>
      </c>
      <c r="F81" s="34">
        <v>0</v>
      </c>
      <c r="G81" s="34">
        <v>44505</v>
      </c>
      <c r="H81" s="31" t="s">
        <v>512</v>
      </c>
    </row>
    <row r="82" spans="1:8" x14ac:dyDescent="0.25">
      <c r="A82" s="32">
        <v>46296</v>
      </c>
      <c r="B82" s="33">
        <v>0.80658564814814815</v>
      </c>
      <c r="C82" s="31" t="s">
        <v>102</v>
      </c>
      <c r="D82" s="31"/>
      <c r="E82" s="31" t="s">
        <v>258</v>
      </c>
      <c r="F82" s="34">
        <v>0</v>
      </c>
      <c r="G82" s="34">
        <v>44505</v>
      </c>
      <c r="H82" s="31" t="s">
        <v>513</v>
      </c>
    </row>
    <row r="83" spans="1:8" x14ac:dyDescent="0.25">
      <c r="A83" s="32">
        <v>46296</v>
      </c>
      <c r="B83" s="33">
        <v>0.80686342592592597</v>
      </c>
      <c r="C83" s="31" t="s">
        <v>102</v>
      </c>
      <c r="D83" s="31"/>
      <c r="E83" s="31" t="s">
        <v>258</v>
      </c>
      <c r="F83" s="34">
        <v>0</v>
      </c>
      <c r="G83" s="34">
        <v>13200</v>
      </c>
      <c r="H83" s="31" t="s">
        <v>789</v>
      </c>
    </row>
    <row r="84" spans="1:8" x14ac:dyDescent="0.25">
      <c r="A84" s="32">
        <v>46296</v>
      </c>
      <c r="B84" s="33">
        <v>0.80753472222222222</v>
      </c>
      <c r="C84" s="31" t="s">
        <v>102</v>
      </c>
      <c r="D84" s="31" t="s">
        <v>749</v>
      </c>
      <c r="E84" s="31" t="s">
        <v>258</v>
      </c>
      <c r="F84" s="34">
        <v>0</v>
      </c>
      <c r="G84" s="34">
        <v>13600</v>
      </c>
      <c r="H84" s="31" t="s">
        <v>790</v>
      </c>
    </row>
    <row r="85" spans="1:8" x14ac:dyDescent="0.25">
      <c r="A85" s="32">
        <v>46296</v>
      </c>
      <c r="B85" s="33">
        <v>0.80820601851851848</v>
      </c>
      <c r="C85" s="31" t="s">
        <v>102</v>
      </c>
      <c r="D85" s="31" t="s">
        <v>751</v>
      </c>
      <c r="E85" s="31" t="s">
        <v>258</v>
      </c>
      <c r="F85" s="34">
        <v>0</v>
      </c>
      <c r="G85" s="34">
        <v>39000</v>
      </c>
      <c r="H85" s="31" t="s">
        <v>791</v>
      </c>
    </row>
    <row r="86" spans="1:8" x14ac:dyDescent="0.25">
      <c r="A86" s="32">
        <v>46296</v>
      </c>
      <c r="B86" s="33">
        <v>0.90396990740740746</v>
      </c>
      <c r="C86" s="31" t="s">
        <v>102</v>
      </c>
      <c r="D86" s="31"/>
      <c r="E86" s="31" t="s">
        <v>258</v>
      </c>
      <c r="F86" s="34">
        <v>0</v>
      </c>
      <c r="G86" s="34">
        <v>6000</v>
      </c>
      <c r="H86" s="31" t="s">
        <v>792</v>
      </c>
    </row>
    <row r="87" spans="1:8" x14ac:dyDescent="0.25">
      <c r="A87" s="32">
        <v>46297</v>
      </c>
      <c r="B87" s="33">
        <v>0.38135416666666666</v>
      </c>
      <c r="C87" s="31" t="s">
        <v>460</v>
      </c>
      <c r="D87" s="31"/>
      <c r="E87" s="31" t="s">
        <v>58</v>
      </c>
      <c r="F87" s="34">
        <v>448950</v>
      </c>
      <c r="G87" s="34">
        <v>0</v>
      </c>
      <c r="H87" s="31" t="s">
        <v>803</v>
      </c>
    </row>
    <row r="88" spans="1:8" x14ac:dyDescent="0.25">
      <c r="A88" s="32">
        <v>46297</v>
      </c>
      <c r="B88" s="33">
        <v>0.38136574074074076</v>
      </c>
      <c r="C88" s="31" t="s">
        <v>460</v>
      </c>
      <c r="D88" s="31"/>
      <c r="E88" s="31" t="s">
        <v>456</v>
      </c>
      <c r="F88" s="34">
        <v>203000</v>
      </c>
      <c r="G88" s="34">
        <v>0</v>
      </c>
      <c r="H88" s="31" t="s">
        <v>804</v>
      </c>
    </row>
    <row r="89" spans="1:8" x14ac:dyDescent="0.25">
      <c r="A89" s="32">
        <v>46297</v>
      </c>
      <c r="B89" s="33">
        <v>0.3818171296296296</v>
      </c>
      <c r="C89" s="31" t="s">
        <v>454</v>
      </c>
      <c r="D89" s="31"/>
      <c r="E89" s="31" t="s">
        <v>58</v>
      </c>
      <c r="F89" s="34">
        <v>448950</v>
      </c>
      <c r="G89" s="34">
        <v>0</v>
      </c>
      <c r="H89" s="31" t="s">
        <v>455</v>
      </c>
    </row>
    <row r="90" spans="1:8" x14ac:dyDescent="0.25">
      <c r="A90" s="32">
        <v>46297</v>
      </c>
      <c r="B90" s="33">
        <v>0.3818171296296296</v>
      </c>
      <c r="C90" s="31" t="s">
        <v>454</v>
      </c>
      <c r="D90" s="31"/>
      <c r="E90" s="31" t="s">
        <v>456</v>
      </c>
      <c r="F90" s="34">
        <v>223000</v>
      </c>
      <c r="G90" s="34">
        <v>0</v>
      </c>
      <c r="H90" s="31" t="s">
        <v>457</v>
      </c>
    </row>
    <row r="91" spans="1:8" x14ac:dyDescent="0.25">
      <c r="A91" s="32">
        <v>46297</v>
      </c>
      <c r="B91" s="33">
        <v>0.62983796296296302</v>
      </c>
      <c r="C91" s="31" t="s">
        <v>102</v>
      </c>
      <c r="D91" s="31" t="s">
        <v>805</v>
      </c>
      <c r="E91" s="31" t="s">
        <v>258</v>
      </c>
      <c r="F91" s="34">
        <v>0</v>
      </c>
      <c r="G91" s="34">
        <v>44000</v>
      </c>
      <c r="H91" s="31" t="s">
        <v>806</v>
      </c>
    </row>
    <row r="92" spans="1:8" x14ac:dyDescent="0.25">
      <c r="A92" s="32">
        <v>46297</v>
      </c>
      <c r="B92" s="33">
        <v>0.62998842592592597</v>
      </c>
      <c r="C92" s="31" t="s">
        <v>102</v>
      </c>
      <c r="D92" s="31"/>
      <c r="E92" s="31" t="s">
        <v>258</v>
      </c>
      <c r="F92" s="34">
        <v>0</v>
      </c>
      <c r="G92" s="34">
        <v>16000</v>
      </c>
      <c r="H92" s="31" t="s">
        <v>785</v>
      </c>
    </row>
    <row r="93" spans="1:8" x14ac:dyDescent="0.25">
      <c r="A93" s="32">
        <v>46297</v>
      </c>
      <c r="B93" s="33">
        <v>0.7769328703703704</v>
      </c>
      <c r="C93" s="31" t="s">
        <v>102</v>
      </c>
      <c r="D93" s="31" t="s">
        <v>807</v>
      </c>
      <c r="E93" s="31" t="s">
        <v>258</v>
      </c>
      <c r="F93" s="34">
        <v>0</v>
      </c>
      <c r="G93" s="34">
        <v>40000</v>
      </c>
      <c r="H93" s="31" t="s">
        <v>808</v>
      </c>
    </row>
    <row r="94" spans="1:8" x14ac:dyDescent="0.25">
      <c r="A94" s="32">
        <v>46298</v>
      </c>
      <c r="B94" s="33">
        <v>0.71980324074074076</v>
      </c>
      <c r="C94" s="31" t="s">
        <v>460</v>
      </c>
      <c r="D94" s="31"/>
      <c r="E94" s="31" t="s">
        <v>58</v>
      </c>
      <c r="F94" s="34">
        <v>512350</v>
      </c>
      <c r="G94" s="34">
        <v>0</v>
      </c>
      <c r="H94" s="31" t="s">
        <v>809</v>
      </c>
    </row>
    <row r="95" spans="1:8" x14ac:dyDescent="0.25">
      <c r="A95" s="32">
        <v>46298</v>
      </c>
      <c r="B95" s="33">
        <v>0.71980324074074076</v>
      </c>
      <c r="C95" s="31" t="s">
        <v>460</v>
      </c>
      <c r="D95" s="31"/>
      <c r="E95" s="31" t="s">
        <v>456</v>
      </c>
      <c r="F95" s="34">
        <v>385000</v>
      </c>
      <c r="G95" s="34">
        <v>0</v>
      </c>
      <c r="H95" s="31" t="s">
        <v>810</v>
      </c>
    </row>
    <row r="96" spans="1:8" x14ac:dyDescent="0.25">
      <c r="A96" s="32">
        <v>46298</v>
      </c>
      <c r="B96" s="33">
        <v>0.72028935185185183</v>
      </c>
      <c r="C96" s="31" t="s">
        <v>454</v>
      </c>
      <c r="D96" s="31"/>
      <c r="E96" s="31" t="s">
        <v>58</v>
      </c>
      <c r="F96" s="34">
        <v>512350</v>
      </c>
      <c r="G96" s="34">
        <v>0</v>
      </c>
      <c r="H96" s="31" t="s">
        <v>455</v>
      </c>
    </row>
    <row r="97" spans="1:8" x14ac:dyDescent="0.25">
      <c r="A97" s="32">
        <v>46298</v>
      </c>
      <c r="B97" s="33">
        <v>0.72028935185185183</v>
      </c>
      <c r="C97" s="31" t="s">
        <v>454</v>
      </c>
      <c r="D97" s="31"/>
      <c r="E97" s="31" t="s">
        <v>456</v>
      </c>
      <c r="F97" s="34">
        <v>385000</v>
      </c>
      <c r="G97" s="34">
        <v>0</v>
      </c>
      <c r="H97" s="31" t="s">
        <v>457</v>
      </c>
    </row>
    <row r="98" spans="1:8" x14ac:dyDescent="0.25">
      <c r="A98" s="32">
        <v>46298</v>
      </c>
      <c r="B98" s="33">
        <v>0.73587962962962961</v>
      </c>
      <c r="C98" s="31" t="s">
        <v>102</v>
      </c>
      <c r="D98" s="31" t="s">
        <v>811</v>
      </c>
      <c r="E98" s="31" t="s">
        <v>281</v>
      </c>
      <c r="F98" s="34">
        <v>0</v>
      </c>
      <c r="G98" s="34">
        <v>58200</v>
      </c>
      <c r="H98" s="31" t="s">
        <v>812</v>
      </c>
    </row>
    <row r="99" spans="1:8" x14ac:dyDescent="0.25">
      <c r="A99" s="32">
        <v>46302</v>
      </c>
      <c r="B99" s="33">
        <v>0.65026620370370369</v>
      </c>
      <c r="C99" s="31" t="s">
        <v>460</v>
      </c>
      <c r="D99" s="31"/>
      <c r="E99" s="31" t="s">
        <v>58</v>
      </c>
      <c r="F99" s="34">
        <v>526700</v>
      </c>
      <c r="G99" s="34">
        <v>0</v>
      </c>
      <c r="H99" s="31" t="s">
        <v>891</v>
      </c>
    </row>
    <row r="100" spans="1:8" x14ac:dyDescent="0.25">
      <c r="A100" s="32">
        <v>46302</v>
      </c>
      <c r="B100" s="33">
        <v>0.65026620370370369</v>
      </c>
      <c r="C100" s="31" t="s">
        <v>460</v>
      </c>
      <c r="D100" s="31"/>
      <c r="E100" s="31" t="s">
        <v>456</v>
      </c>
      <c r="F100" s="34">
        <v>500000</v>
      </c>
      <c r="G100" s="34">
        <v>0</v>
      </c>
      <c r="H100" s="31" t="s">
        <v>892</v>
      </c>
    </row>
    <row r="101" spans="1:8" x14ac:dyDescent="0.25">
      <c r="A101" s="32">
        <v>46302</v>
      </c>
      <c r="B101" s="33">
        <v>0.65055555555555555</v>
      </c>
      <c r="C101" s="31" t="s">
        <v>454</v>
      </c>
      <c r="D101" s="31"/>
      <c r="E101" s="31" t="s">
        <v>58</v>
      </c>
      <c r="F101" s="34">
        <v>526700</v>
      </c>
      <c r="G101" s="34">
        <v>0</v>
      </c>
      <c r="H101" s="31" t="s">
        <v>455</v>
      </c>
    </row>
    <row r="102" spans="1:8" x14ac:dyDescent="0.25">
      <c r="A102" s="32">
        <v>46302</v>
      </c>
      <c r="B102" s="33">
        <v>0.65055555555555555</v>
      </c>
      <c r="C102" s="31" t="s">
        <v>454</v>
      </c>
      <c r="D102" s="31"/>
      <c r="E102" s="31" t="s">
        <v>456</v>
      </c>
      <c r="F102" s="34">
        <v>500000</v>
      </c>
      <c r="G102" s="34">
        <v>0</v>
      </c>
      <c r="H102" s="31" t="s">
        <v>457</v>
      </c>
    </row>
    <row r="103" spans="1:8" x14ac:dyDescent="0.25">
      <c r="A103" s="32">
        <v>46302</v>
      </c>
      <c r="B103" s="33">
        <v>0.65240740740740744</v>
      </c>
      <c r="C103" s="31" t="s">
        <v>102</v>
      </c>
      <c r="D103" s="31"/>
      <c r="E103" s="31" t="s">
        <v>281</v>
      </c>
      <c r="F103" s="34">
        <v>0</v>
      </c>
      <c r="G103" s="34">
        <v>96720</v>
      </c>
      <c r="H103" s="31" t="s">
        <v>508</v>
      </c>
    </row>
    <row r="104" spans="1:8" x14ac:dyDescent="0.25">
      <c r="A104" s="32">
        <v>46302</v>
      </c>
      <c r="B104" s="33">
        <v>0.88539351851851855</v>
      </c>
      <c r="C104" s="31" t="s">
        <v>101</v>
      </c>
      <c r="D104" s="31" t="s">
        <v>845</v>
      </c>
      <c r="E104" s="31" t="s">
        <v>258</v>
      </c>
      <c r="F104" s="34">
        <v>250000</v>
      </c>
      <c r="G104" s="34">
        <v>0</v>
      </c>
      <c r="H104" s="31" t="s">
        <v>893</v>
      </c>
    </row>
    <row r="105" spans="1:8" x14ac:dyDescent="0.25">
      <c r="A105" s="32">
        <v>46303</v>
      </c>
      <c r="B105" s="33">
        <v>2.0578703703703703E-2</v>
      </c>
      <c r="C105" s="31" t="s">
        <v>460</v>
      </c>
      <c r="D105" s="31"/>
      <c r="E105" s="31" t="s">
        <v>58</v>
      </c>
      <c r="F105" s="34">
        <v>1003500</v>
      </c>
      <c r="G105" s="34">
        <v>0</v>
      </c>
      <c r="H105" s="31" t="s">
        <v>894</v>
      </c>
    </row>
    <row r="106" spans="1:8" x14ac:dyDescent="0.25">
      <c r="A106" s="32">
        <v>46303</v>
      </c>
      <c r="B106" s="33">
        <v>2.0578703703703703E-2</v>
      </c>
      <c r="C106" s="31" t="s">
        <v>460</v>
      </c>
      <c r="D106" s="31"/>
      <c r="E106" s="31" t="s">
        <v>456</v>
      </c>
      <c r="F106" s="34">
        <v>769000</v>
      </c>
      <c r="G106" s="34">
        <v>0</v>
      </c>
      <c r="H106" s="31" t="s">
        <v>895</v>
      </c>
    </row>
    <row r="107" spans="1:8" x14ac:dyDescent="0.25">
      <c r="A107" s="32">
        <v>46303</v>
      </c>
      <c r="B107" s="33">
        <v>0.63894675925925926</v>
      </c>
      <c r="C107" s="31" t="s">
        <v>454</v>
      </c>
      <c r="D107" s="31"/>
      <c r="E107" s="31" t="s">
        <v>58</v>
      </c>
      <c r="F107" s="34">
        <v>1003500</v>
      </c>
      <c r="G107" s="34">
        <v>0</v>
      </c>
      <c r="H107" s="31" t="s">
        <v>455</v>
      </c>
    </row>
    <row r="108" spans="1:8" x14ac:dyDescent="0.25">
      <c r="A108" s="32">
        <v>46303</v>
      </c>
      <c r="B108" s="33">
        <v>0.63894675925925926</v>
      </c>
      <c r="C108" s="31" t="s">
        <v>454</v>
      </c>
      <c r="D108" s="31"/>
      <c r="E108" s="31" t="s">
        <v>456</v>
      </c>
      <c r="F108" s="34">
        <v>769000</v>
      </c>
      <c r="G108" s="34">
        <v>0</v>
      </c>
      <c r="H108" s="31" t="s">
        <v>457</v>
      </c>
    </row>
    <row r="109" spans="1:8" x14ac:dyDescent="0.25">
      <c r="A109" s="32">
        <v>46303</v>
      </c>
      <c r="B109" s="33">
        <v>0.6392592592592593</v>
      </c>
      <c r="C109" s="31" t="s">
        <v>102</v>
      </c>
      <c r="D109" s="31" t="s">
        <v>896</v>
      </c>
      <c r="E109" s="31" t="s">
        <v>258</v>
      </c>
      <c r="F109" s="34">
        <v>0</v>
      </c>
      <c r="G109" s="34">
        <v>9000</v>
      </c>
      <c r="H109" s="31" t="s">
        <v>783</v>
      </c>
    </row>
    <row r="110" spans="1:8" x14ac:dyDescent="0.25">
      <c r="A110" s="32">
        <v>46303</v>
      </c>
      <c r="B110" s="33">
        <v>0.8155324074074074</v>
      </c>
      <c r="C110" s="31" t="s">
        <v>102</v>
      </c>
      <c r="D110" s="31"/>
      <c r="E110" s="31" t="s">
        <v>258</v>
      </c>
      <c r="F110" s="34">
        <v>0</v>
      </c>
      <c r="G110" s="34">
        <v>44505</v>
      </c>
      <c r="H110" s="31" t="s">
        <v>513</v>
      </c>
    </row>
    <row r="111" spans="1:8" x14ac:dyDescent="0.25">
      <c r="A111" s="32">
        <v>46303</v>
      </c>
      <c r="B111" s="33">
        <v>0.81568287037037035</v>
      </c>
      <c r="C111" s="31" t="s">
        <v>102</v>
      </c>
      <c r="D111" s="31"/>
      <c r="E111" s="31" t="s">
        <v>258</v>
      </c>
      <c r="F111" s="34">
        <v>0</v>
      </c>
      <c r="G111" s="34">
        <v>44505</v>
      </c>
      <c r="H111" s="31" t="s">
        <v>553</v>
      </c>
    </row>
    <row r="112" spans="1:8" x14ac:dyDescent="0.25">
      <c r="A112" s="32">
        <v>46303</v>
      </c>
      <c r="B112" s="33">
        <v>0.81587962962962968</v>
      </c>
      <c r="C112" s="31" t="s">
        <v>102</v>
      </c>
      <c r="D112" s="31"/>
      <c r="E112" s="31" t="s">
        <v>258</v>
      </c>
      <c r="F112" s="34">
        <v>0</v>
      </c>
      <c r="G112" s="34">
        <v>34350</v>
      </c>
      <c r="H112" s="31" t="s">
        <v>487</v>
      </c>
    </row>
    <row r="113" spans="1:8" x14ac:dyDescent="0.25">
      <c r="A113" s="32">
        <v>46303</v>
      </c>
      <c r="B113" s="33">
        <v>0.81615740740740739</v>
      </c>
      <c r="C113" s="31" t="s">
        <v>102</v>
      </c>
      <c r="D113" s="31"/>
      <c r="E113" s="31" t="s">
        <v>258</v>
      </c>
      <c r="F113" s="34">
        <v>0</v>
      </c>
      <c r="G113" s="34">
        <v>35310</v>
      </c>
      <c r="H113" s="31" t="s">
        <v>897</v>
      </c>
    </row>
    <row r="114" spans="1:8" x14ac:dyDescent="0.25">
      <c r="A114" s="32"/>
      <c r="B114" s="33"/>
      <c r="C114" s="31"/>
      <c r="D114" s="31"/>
      <c r="E114" s="31"/>
      <c r="F114" s="34"/>
      <c r="G114" s="34"/>
      <c r="H114" s="31"/>
    </row>
    <row r="115" spans="1:8" x14ac:dyDescent="0.25">
      <c r="A115" s="32"/>
      <c r="B115" s="33"/>
      <c r="C115" s="31"/>
      <c r="D115" s="31"/>
      <c r="E115" s="31"/>
      <c r="F115" s="34"/>
      <c r="G115" s="34"/>
      <c r="H115" s="31"/>
    </row>
    <row r="116" spans="1:8" x14ac:dyDescent="0.25">
      <c r="A116" s="32"/>
      <c r="B116" s="33"/>
      <c r="C116" s="31"/>
      <c r="D116" s="31"/>
      <c r="E116" s="31"/>
      <c r="F116" s="34"/>
      <c r="G116" s="34"/>
      <c r="H116" s="31"/>
    </row>
    <row r="117" spans="1:8" x14ac:dyDescent="0.25">
      <c r="A117" s="32"/>
      <c r="B117" s="33"/>
      <c r="C117" s="31"/>
      <c r="D117" s="31"/>
      <c r="E117" s="31"/>
      <c r="F117" s="34"/>
      <c r="G117" s="34"/>
      <c r="H117" s="31"/>
    </row>
    <row r="118" spans="1:8" x14ac:dyDescent="0.25">
      <c r="A118" s="32"/>
      <c r="B118" s="33"/>
      <c r="C118" s="31"/>
      <c r="D118" s="31"/>
      <c r="E118" s="31"/>
      <c r="F118" s="34"/>
      <c r="G118" s="34"/>
      <c r="H118" s="31"/>
    </row>
    <row r="119" spans="1:8" x14ac:dyDescent="0.25">
      <c r="A119" s="32"/>
      <c r="B119" s="33"/>
      <c r="C119" s="31"/>
      <c r="D119" s="31"/>
      <c r="E119" s="31"/>
      <c r="F119" s="34"/>
      <c r="G119" s="34"/>
      <c r="H119" s="31"/>
    </row>
    <row r="120" spans="1:8" x14ac:dyDescent="0.25">
      <c r="A120" s="32"/>
      <c r="B120" s="33"/>
      <c r="C120" s="31"/>
      <c r="D120" s="31"/>
      <c r="E120" s="31"/>
      <c r="F120" s="34"/>
      <c r="G120" s="34"/>
      <c r="H120" s="31"/>
    </row>
    <row r="121" spans="1:8" x14ac:dyDescent="0.25">
      <c r="A121" s="32"/>
      <c r="B121" s="33"/>
      <c r="C121" s="31"/>
      <c r="D121" s="31"/>
      <c r="E121" s="31"/>
      <c r="F121" s="34"/>
      <c r="G121" s="34"/>
      <c r="H121" s="31"/>
    </row>
    <row r="122" spans="1:8" x14ac:dyDescent="0.25">
      <c r="A122" s="32"/>
      <c r="B122" s="33"/>
      <c r="C122" s="31"/>
      <c r="D122" s="31"/>
      <c r="E122" s="31"/>
      <c r="F122" s="34"/>
      <c r="G122" s="34"/>
      <c r="H122" s="31"/>
    </row>
    <row r="123" spans="1:8" x14ac:dyDescent="0.25">
      <c r="A123" s="32"/>
      <c r="B123" s="33"/>
      <c r="C123" s="31"/>
      <c r="D123" s="31"/>
      <c r="E123" s="31"/>
      <c r="F123" s="34"/>
      <c r="G123" s="34"/>
      <c r="H123" s="31"/>
    </row>
    <row r="124" spans="1:8" x14ac:dyDescent="0.25">
      <c r="A124" s="32"/>
      <c r="B124" s="33"/>
      <c r="C124" s="31"/>
      <c r="D124" s="31"/>
      <c r="E124" s="31"/>
      <c r="F124" s="34"/>
      <c r="G124" s="34"/>
      <c r="H124" s="31"/>
    </row>
    <row r="125" spans="1:8" x14ac:dyDescent="0.25">
      <c r="A125" s="32"/>
      <c r="B125" s="33"/>
      <c r="C125" s="31"/>
      <c r="D125" s="31"/>
      <c r="E125" s="31"/>
      <c r="F125" s="34"/>
      <c r="G125" s="34"/>
      <c r="H125" s="31"/>
    </row>
    <row r="126" spans="1:8" x14ac:dyDescent="0.25">
      <c r="A126" s="32"/>
      <c r="B126" s="33"/>
      <c r="C126" s="31"/>
      <c r="D126" s="31"/>
      <c r="E126" s="31"/>
      <c r="F126" s="34"/>
      <c r="G126" s="34"/>
      <c r="H126" s="31"/>
    </row>
    <row r="127" spans="1:8" x14ac:dyDescent="0.25">
      <c r="A127" s="32"/>
      <c r="B127" s="33"/>
      <c r="C127" s="31"/>
      <c r="D127" s="31"/>
      <c r="E127" s="31"/>
      <c r="F127" s="34"/>
      <c r="G127" s="34"/>
      <c r="H127" s="31"/>
    </row>
    <row r="128" spans="1:8" x14ac:dyDescent="0.25">
      <c r="A128" s="32"/>
      <c r="B128" s="33"/>
      <c r="C128" s="31"/>
      <c r="D128" s="31"/>
      <c r="E128" s="31"/>
      <c r="F128" s="34"/>
      <c r="G128" s="34"/>
      <c r="H128" s="31"/>
    </row>
    <row r="129" spans="1:8" x14ac:dyDescent="0.25">
      <c r="A129" s="32"/>
      <c r="B129" s="33"/>
      <c r="C129" s="31"/>
      <c r="D129" s="31"/>
      <c r="E129" s="31"/>
      <c r="F129" s="34"/>
      <c r="G129" s="34"/>
      <c r="H129" s="31"/>
    </row>
    <row r="130" spans="1:8" x14ac:dyDescent="0.25">
      <c r="A130" s="32"/>
      <c r="B130" s="33"/>
      <c r="C130" s="31"/>
      <c r="D130" s="31"/>
      <c r="E130" s="31"/>
      <c r="F130" s="34"/>
      <c r="G130" s="34"/>
      <c r="H130" s="31"/>
    </row>
    <row r="131" spans="1:8" x14ac:dyDescent="0.25">
      <c r="A131" s="32"/>
      <c r="B131" s="33"/>
      <c r="C131" s="31"/>
      <c r="D131" s="31"/>
      <c r="E131" s="31"/>
      <c r="F131" s="34"/>
      <c r="G131" s="34"/>
      <c r="H131" s="31"/>
    </row>
    <row r="132" spans="1:8" x14ac:dyDescent="0.25">
      <c r="A132" s="32"/>
      <c r="B132" s="33"/>
      <c r="C132" s="31"/>
      <c r="D132" s="31"/>
      <c r="E132" s="31"/>
      <c r="F132" s="34"/>
      <c r="G132" s="34"/>
      <c r="H132" s="31"/>
    </row>
    <row r="133" spans="1:8" x14ac:dyDescent="0.25">
      <c r="A133" s="32"/>
      <c r="B133" s="33"/>
      <c r="C133" s="31"/>
      <c r="D133" s="31"/>
      <c r="E133" s="31"/>
      <c r="F133" s="34"/>
      <c r="G133" s="34"/>
      <c r="H133" s="31"/>
    </row>
    <row r="134" spans="1:8" x14ac:dyDescent="0.25">
      <c r="A134" s="32"/>
      <c r="B134" s="33"/>
      <c r="C134" s="31"/>
      <c r="D134" s="31"/>
      <c r="E134" s="31"/>
      <c r="F134" s="34"/>
      <c r="G134" s="34"/>
      <c r="H134" s="31"/>
    </row>
    <row r="135" spans="1:8" x14ac:dyDescent="0.25">
      <c r="A135" s="32"/>
      <c r="B135" s="33"/>
      <c r="C135" s="31"/>
      <c r="D135" s="31"/>
      <c r="E135" s="31"/>
      <c r="F135" s="34"/>
      <c r="G135" s="34"/>
      <c r="H135" s="31"/>
    </row>
    <row r="136" spans="1:8" x14ac:dyDescent="0.25">
      <c r="A136" s="32"/>
      <c r="B136" s="33"/>
      <c r="C136" s="31"/>
      <c r="D136" s="31"/>
      <c r="E136" s="31"/>
      <c r="F136" s="34"/>
      <c r="G136" s="34"/>
      <c r="H136" s="31"/>
    </row>
    <row r="137" spans="1:8" x14ac:dyDescent="0.25">
      <c r="A137" s="32"/>
      <c r="B137" s="33"/>
      <c r="C137" s="31"/>
      <c r="D137" s="31"/>
      <c r="E137" s="31"/>
      <c r="F137" s="34"/>
      <c r="G137" s="34"/>
      <c r="H137" s="31"/>
    </row>
    <row r="138" spans="1:8" x14ac:dyDescent="0.25">
      <c r="A138" s="32"/>
      <c r="B138" s="33"/>
      <c r="C138" s="31"/>
      <c r="D138" s="31"/>
      <c r="E138" s="31"/>
      <c r="F138" s="34"/>
      <c r="G138" s="34"/>
      <c r="H138" s="31"/>
    </row>
    <row r="139" spans="1:8" x14ac:dyDescent="0.25">
      <c r="A139" s="32"/>
      <c r="B139" s="33"/>
      <c r="C139" s="31"/>
      <c r="D139" s="31"/>
      <c r="E139" s="31"/>
      <c r="F139" s="34"/>
      <c r="G139" s="34"/>
      <c r="H139" s="31"/>
    </row>
    <row r="140" spans="1:8" x14ac:dyDescent="0.25">
      <c r="A140" s="32"/>
      <c r="B140" s="33"/>
      <c r="C140" s="31"/>
      <c r="D140" s="31"/>
      <c r="E140" s="31"/>
      <c r="F140" s="34"/>
      <c r="G140" s="34"/>
      <c r="H140" s="31"/>
    </row>
    <row r="141" spans="1:8" x14ac:dyDescent="0.25">
      <c r="A141" s="32"/>
      <c r="B141" s="33"/>
      <c r="C141" s="31"/>
      <c r="D141" s="31"/>
      <c r="E141" s="31"/>
      <c r="F141" s="34"/>
      <c r="G141" s="34"/>
      <c r="H141" s="31"/>
    </row>
    <row r="142" spans="1:8" x14ac:dyDescent="0.25">
      <c r="A142" s="32"/>
      <c r="B142" s="33"/>
      <c r="C142" s="31"/>
      <c r="D142" s="31"/>
      <c r="E142" s="31"/>
      <c r="F142" s="34"/>
      <c r="G142" s="34"/>
      <c r="H142" s="31"/>
    </row>
    <row r="143" spans="1:8" x14ac:dyDescent="0.25">
      <c r="A143" s="32"/>
      <c r="B143" s="33"/>
      <c r="C143" s="31"/>
      <c r="D143" s="31"/>
      <c r="E143" s="31"/>
      <c r="F143" s="34"/>
      <c r="G143" s="34"/>
      <c r="H143" s="31"/>
    </row>
    <row r="144" spans="1:8" x14ac:dyDescent="0.25">
      <c r="A144" s="32"/>
      <c r="B144" s="33"/>
      <c r="C144" s="31"/>
      <c r="D144" s="31"/>
      <c r="E144" s="31"/>
      <c r="F144" s="34"/>
      <c r="G144" s="34"/>
      <c r="H144" s="31"/>
    </row>
    <row r="145" spans="1:8" x14ac:dyDescent="0.25">
      <c r="A145" s="32"/>
      <c r="B145" s="33"/>
      <c r="C145" s="31"/>
      <c r="D145" s="31"/>
      <c r="E145" s="31"/>
      <c r="F145" s="34"/>
      <c r="G145" s="34"/>
      <c r="H145" s="31"/>
    </row>
    <row r="146" spans="1:8" x14ac:dyDescent="0.25">
      <c r="A146" s="32"/>
      <c r="B146" s="33"/>
      <c r="C146" s="31"/>
      <c r="D146" s="31"/>
      <c r="E146" s="31"/>
      <c r="F146" s="34"/>
      <c r="G146" s="34"/>
      <c r="H146" s="31"/>
    </row>
    <row r="147" spans="1:8" x14ac:dyDescent="0.25">
      <c r="A147" s="32"/>
      <c r="B147" s="33"/>
      <c r="C147" s="31"/>
      <c r="D147" s="31"/>
      <c r="E147" s="31"/>
      <c r="F147" s="34"/>
      <c r="G147" s="34"/>
      <c r="H147" s="31"/>
    </row>
    <row r="148" spans="1:8" x14ac:dyDescent="0.25">
      <c r="A148" s="32"/>
      <c r="B148" s="33"/>
      <c r="C148" s="31"/>
      <c r="D148" s="31"/>
      <c r="E148" s="31"/>
      <c r="F148" s="34"/>
      <c r="G148" s="34"/>
      <c r="H148" s="31"/>
    </row>
    <row r="149" spans="1:8" x14ac:dyDescent="0.25">
      <c r="A149" s="32"/>
      <c r="B149" s="33"/>
      <c r="C149" s="31"/>
      <c r="D149" s="31"/>
      <c r="E149" s="31"/>
      <c r="F149" s="34"/>
      <c r="G149" s="34"/>
      <c r="H149" s="31"/>
    </row>
    <row r="150" spans="1:8" x14ac:dyDescent="0.25">
      <c r="A150" s="32"/>
      <c r="B150" s="33"/>
      <c r="C150" s="31"/>
      <c r="D150" s="31"/>
      <c r="E150" s="31"/>
      <c r="F150" s="34"/>
      <c r="G150" s="34"/>
      <c r="H150" s="31"/>
    </row>
    <row r="151" spans="1:8" x14ac:dyDescent="0.25">
      <c r="A151" s="32"/>
      <c r="B151" s="33"/>
      <c r="C151" s="31"/>
      <c r="D151" s="31"/>
      <c r="E151" s="31"/>
      <c r="F151" s="34"/>
      <c r="G151" s="34"/>
      <c r="H151" s="31"/>
    </row>
    <row r="152" spans="1:8" x14ac:dyDescent="0.25">
      <c r="A152" s="32"/>
      <c r="B152" s="33"/>
      <c r="C152" s="31"/>
      <c r="D152" s="31"/>
      <c r="E152" s="31"/>
      <c r="F152" s="34"/>
      <c r="G152" s="34"/>
      <c r="H152" s="31"/>
    </row>
    <row r="153" spans="1:8" x14ac:dyDescent="0.25">
      <c r="A153" s="32"/>
      <c r="B153" s="33"/>
      <c r="C153" s="31"/>
      <c r="D153" s="31"/>
      <c r="E153" s="31"/>
      <c r="F153" s="34"/>
      <c r="G153" s="34"/>
      <c r="H153" s="31"/>
    </row>
    <row r="154" spans="1:8" x14ac:dyDescent="0.25">
      <c r="A154" s="32"/>
      <c r="B154" s="33"/>
      <c r="C154" s="31"/>
      <c r="D154" s="31"/>
      <c r="E154" s="31"/>
      <c r="F154" s="34"/>
      <c r="G154" s="34"/>
      <c r="H154" s="31"/>
    </row>
    <row r="155" spans="1:8" x14ac:dyDescent="0.25">
      <c r="A155" s="32"/>
      <c r="B155" s="33"/>
      <c r="C155" s="31"/>
      <c r="D155" s="31"/>
      <c r="E155" s="31"/>
      <c r="F155" s="34"/>
      <c r="G155" s="34"/>
      <c r="H155" s="31"/>
    </row>
    <row r="156" spans="1:8" x14ac:dyDescent="0.25">
      <c r="A156" s="32"/>
      <c r="B156" s="33"/>
      <c r="C156" s="31"/>
      <c r="D156" s="31"/>
      <c r="E156" s="31"/>
      <c r="F156" s="34"/>
      <c r="G156" s="34"/>
      <c r="H156" s="31"/>
    </row>
    <row r="157" spans="1:8" x14ac:dyDescent="0.25">
      <c r="A157" s="32"/>
      <c r="B157" s="33"/>
      <c r="C157" s="31"/>
      <c r="D157" s="31"/>
      <c r="E157" s="31"/>
      <c r="F157" s="34"/>
      <c r="G157" s="34"/>
      <c r="H157" s="31"/>
    </row>
    <row r="158" spans="1:8" x14ac:dyDescent="0.25">
      <c r="A158" s="32"/>
      <c r="B158" s="33"/>
      <c r="C158" s="31"/>
      <c r="D158" s="31"/>
      <c r="E158" s="31"/>
      <c r="F158" s="34"/>
      <c r="G158" s="34"/>
      <c r="H158" s="31"/>
    </row>
    <row r="159" spans="1:8" x14ac:dyDescent="0.25">
      <c r="A159" s="32"/>
      <c r="B159" s="33"/>
      <c r="C159" s="31"/>
      <c r="D159" s="31"/>
      <c r="E159" s="31"/>
      <c r="F159" s="34"/>
      <c r="G159" s="34"/>
      <c r="H159" s="31"/>
    </row>
    <row r="160" spans="1:8" x14ac:dyDescent="0.25">
      <c r="A160" s="32"/>
      <c r="B160" s="33"/>
      <c r="C160" s="31"/>
      <c r="D160" s="31"/>
      <c r="E160" s="31"/>
      <c r="F160" s="34"/>
      <c r="G160" s="34"/>
      <c r="H160" s="31"/>
    </row>
    <row r="161" spans="1:8" x14ac:dyDescent="0.25">
      <c r="A161" s="32"/>
      <c r="B161" s="33"/>
      <c r="C161" s="31"/>
      <c r="D161" s="31"/>
      <c r="E161" s="31"/>
      <c r="F161" s="34"/>
      <c r="G161" s="34"/>
      <c r="H161" s="31"/>
    </row>
    <row r="162" spans="1:8" x14ac:dyDescent="0.25">
      <c r="A162" s="32"/>
      <c r="B162" s="33"/>
      <c r="C162" s="31"/>
      <c r="D162" s="31"/>
      <c r="E162" s="31"/>
      <c r="F162" s="34"/>
      <c r="G162" s="34"/>
      <c r="H162" s="31"/>
    </row>
    <row r="163" spans="1:8" x14ac:dyDescent="0.25">
      <c r="A163" s="32"/>
      <c r="B163" s="33"/>
      <c r="C163" s="31"/>
      <c r="D163" s="31"/>
      <c r="E163" s="31"/>
      <c r="F163" s="34"/>
      <c r="G163" s="34"/>
      <c r="H163" s="31"/>
    </row>
    <row r="164" spans="1:8" x14ac:dyDescent="0.25">
      <c r="A164" s="32"/>
      <c r="B164" s="33"/>
      <c r="C164" s="31"/>
      <c r="D164" s="31"/>
      <c r="E164" s="31"/>
      <c r="F164" s="34"/>
      <c r="G164" s="34"/>
      <c r="H164" s="31"/>
    </row>
    <row r="165" spans="1:8" x14ac:dyDescent="0.25">
      <c r="A165" s="32"/>
      <c r="B165" s="33"/>
      <c r="C165" s="31"/>
      <c r="D165" s="31"/>
      <c r="E165" s="31"/>
      <c r="F165" s="34"/>
      <c r="G165" s="34"/>
      <c r="H165" s="31"/>
    </row>
    <row r="166" spans="1:8" x14ac:dyDescent="0.25">
      <c r="A166" s="32"/>
      <c r="B166" s="33"/>
      <c r="C166" s="31"/>
      <c r="D166" s="31"/>
      <c r="E166" s="31"/>
      <c r="F166" s="34"/>
      <c r="G166" s="34"/>
      <c r="H166" s="31"/>
    </row>
    <row r="167" spans="1:8" x14ac:dyDescent="0.25">
      <c r="A167" s="32"/>
      <c r="B167" s="33"/>
      <c r="C167" s="31"/>
      <c r="D167" s="31"/>
      <c r="E167" s="31"/>
      <c r="F167" s="34"/>
      <c r="G167" s="34"/>
      <c r="H167" s="31"/>
    </row>
    <row r="168" spans="1:8" x14ac:dyDescent="0.25">
      <c r="A168" s="32"/>
      <c r="B168" s="33"/>
      <c r="C168" s="31"/>
      <c r="D168" s="31"/>
      <c r="E168" s="31"/>
      <c r="F168" s="34"/>
      <c r="G168" s="34"/>
      <c r="H168" s="31"/>
    </row>
    <row r="169" spans="1:8" x14ac:dyDescent="0.25">
      <c r="A169" s="32"/>
      <c r="B169" s="33"/>
      <c r="C169" s="31"/>
      <c r="D169" s="31"/>
      <c r="E169" s="31"/>
      <c r="F169" s="34"/>
      <c r="G169" s="34"/>
      <c r="H169" s="31"/>
    </row>
    <row r="170" spans="1:8" x14ac:dyDescent="0.25">
      <c r="A170" s="32"/>
      <c r="B170" s="33"/>
      <c r="C170" s="31"/>
      <c r="D170" s="31"/>
      <c r="E170" s="31"/>
      <c r="F170" s="34"/>
      <c r="G170" s="34"/>
      <c r="H170" s="31"/>
    </row>
    <row r="171" spans="1:8" x14ac:dyDescent="0.25">
      <c r="A171" s="32"/>
      <c r="B171" s="33"/>
      <c r="C171" s="31"/>
      <c r="D171" s="31"/>
      <c r="E171" s="31"/>
      <c r="F171" s="34"/>
      <c r="G171" s="34"/>
      <c r="H171" s="31"/>
    </row>
    <row r="172" spans="1:8" x14ac:dyDescent="0.25">
      <c r="A172" s="32"/>
      <c r="B172" s="33"/>
      <c r="C172" s="31"/>
      <c r="D172" s="31"/>
      <c r="E172" s="31"/>
      <c r="F172" s="34"/>
      <c r="G172" s="34"/>
      <c r="H172" s="31"/>
    </row>
    <row r="173" spans="1:8" x14ac:dyDescent="0.25">
      <c r="A173" s="32"/>
      <c r="B173" s="33"/>
      <c r="C173" s="31"/>
      <c r="D173" s="31"/>
      <c r="E173" s="31"/>
      <c r="F173" s="34"/>
      <c r="G173" s="34"/>
      <c r="H173" s="31"/>
    </row>
    <row r="174" spans="1:8" x14ac:dyDescent="0.25">
      <c r="A174" s="32"/>
      <c r="B174" s="33"/>
      <c r="C174" s="31"/>
      <c r="D174" s="31"/>
      <c r="E174" s="31"/>
      <c r="F174" s="34"/>
      <c r="G174" s="34"/>
      <c r="H174" s="31"/>
    </row>
    <row r="175" spans="1:8" x14ac:dyDescent="0.25">
      <c r="A175" s="32"/>
      <c r="B175" s="33"/>
      <c r="C175" s="31"/>
      <c r="D175" s="31"/>
      <c r="E175" s="31"/>
      <c r="F175" s="34"/>
      <c r="G175" s="34"/>
      <c r="H175" s="31"/>
    </row>
    <row r="176" spans="1:8" x14ac:dyDescent="0.25">
      <c r="A176" s="32"/>
      <c r="B176" s="33"/>
      <c r="C176" s="31"/>
      <c r="D176" s="31"/>
      <c r="E176" s="31"/>
      <c r="F176" s="34"/>
      <c r="G176" s="34"/>
      <c r="H176" s="31"/>
    </row>
    <row r="177" spans="1:8" x14ac:dyDescent="0.25">
      <c r="A177" s="32"/>
      <c r="B177" s="33"/>
      <c r="C177" s="31"/>
      <c r="D177" s="31"/>
      <c r="E177" s="31"/>
      <c r="F177" s="34"/>
      <c r="G177" s="34"/>
      <c r="H177" s="31"/>
    </row>
    <row r="178" spans="1:8" x14ac:dyDescent="0.25">
      <c r="A178" s="32"/>
      <c r="B178" s="33"/>
      <c r="C178" s="31"/>
      <c r="D178" s="31"/>
      <c r="E178" s="31"/>
      <c r="F178" s="34"/>
      <c r="G178" s="34"/>
      <c r="H178" s="31"/>
    </row>
    <row r="179" spans="1:8" x14ac:dyDescent="0.25">
      <c r="A179" s="32"/>
      <c r="B179" s="33"/>
      <c r="C179" s="31"/>
      <c r="D179" s="31"/>
      <c r="E179" s="31"/>
      <c r="F179" s="34"/>
      <c r="G179" s="34"/>
      <c r="H179" s="31"/>
    </row>
    <row r="180" spans="1:8" x14ac:dyDescent="0.25">
      <c r="A180" s="32"/>
      <c r="B180" s="33"/>
      <c r="C180" s="31"/>
      <c r="D180" s="31"/>
      <c r="E180" s="31"/>
      <c r="F180" s="34"/>
      <c r="G180" s="34"/>
      <c r="H180" s="31"/>
    </row>
    <row r="181" spans="1:8" x14ac:dyDescent="0.25">
      <c r="A181" s="32"/>
      <c r="B181" s="33"/>
      <c r="C181" s="31"/>
      <c r="D181" s="31"/>
      <c r="E181" s="31"/>
      <c r="F181" s="34"/>
      <c r="G181" s="34"/>
      <c r="H181" s="31"/>
    </row>
    <row r="182" spans="1:8" x14ac:dyDescent="0.25">
      <c r="A182" s="32"/>
      <c r="B182" s="33"/>
      <c r="C182" s="31"/>
      <c r="D182" s="31"/>
      <c r="E182" s="31"/>
      <c r="F182" s="34"/>
      <c r="G182" s="34"/>
      <c r="H182" s="31"/>
    </row>
    <row r="183" spans="1:8" x14ac:dyDescent="0.25">
      <c r="A183" s="32"/>
      <c r="B183" s="33"/>
      <c r="C183" s="31"/>
      <c r="D183" s="31"/>
      <c r="E183" s="31"/>
      <c r="F183" s="34"/>
      <c r="G183" s="34"/>
      <c r="H183" s="31"/>
    </row>
    <row r="184" spans="1:8" x14ac:dyDescent="0.25">
      <c r="A184" s="32"/>
      <c r="B184" s="33"/>
      <c r="C184" s="31"/>
      <c r="D184" s="31"/>
      <c r="E184" s="31"/>
      <c r="F184" s="34"/>
      <c r="G184" s="34"/>
      <c r="H184" s="31"/>
    </row>
    <row r="185" spans="1:8" x14ac:dyDescent="0.25">
      <c r="A185" s="32"/>
      <c r="B185" s="33"/>
      <c r="C185" s="31"/>
      <c r="D185" s="31"/>
      <c r="E185" s="31"/>
      <c r="F185" s="34"/>
      <c r="G185" s="34"/>
      <c r="H185" s="31"/>
    </row>
    <row r="186" spans="1:8" x14ac:dyDescent="0.25">
      <c r="A186" s="32"/>
      <c r="B186" s="33"/>
      <c r="C186" s="31"/>
      <c r="D186" s="31"/>
      <c r="E186" s="31"/>
      <c r="F186" s="34"/>
      <c r="G186" s="34"/>
      <c r="H186" s="31"/>
    </row>
    <row r="187" spans="1:8" x14ac:dyDescent="0.25">
      <c r="A187" s="32"/>
      <c r="B187" s="33"/>
      <c r="C187" s="31"/>
      <c r="D187" s="31"/>
      <c r="E187" s="31"/>
      <c r="F187" s="34"/>
      <c r="G187" s="34"/>
      <c r="H187" s="31"/>
    </row>
    <row r="188" spans="1:8" x14ac:dyDescent="0.25">
      <c r="A188" s="32"/>
      <c r="B188" s="33"/>
      <c r="C188" s="31"/>
      <c r="D188" s="31"/>
      <c r="E188" s="31"/>
      <c r="F188" s="34"/>
      <c r="G188" s="34"/>
      <c r="H188" s="31"/>
    </row>
    <row r="189" spans="1:8" x14ac:dyDescent="0.25">
      <c r="A189" s="32"/>
      <c r="B189" s="33"/>
      <c r="C189" s="31"/>
      <c r="D189" s="31"/>
      <c r="E189" s="31"/>
      <c r="F189" s="34"/>
      <c r="G189" s="34"/>
      <c r="H189" s="31"/>
    </row>
    <row r="190" spans="1:8" x14ac:dyDescent="0.25">
      <c r="A190" s="32"/>
      <c r="B190" s="33"/>
      <c r="C190" s="31"/>
      <c r="D190" s="31"/>
      <c r="E190" s="31"/>
      <c r="F190" s="34"/>
      <c r="G190" s="34"/>
      <c r="H190" s="31"/>
    </row>
    <row r="191" spans="1:8" x14ac:dyDescent="0.25">
      <c r="A191" s="32"/>
      <c r="B191" s="33"/>
      <c r="C191" s="31"/>
      <c r="D191" s="31"/>
      <c r="E191" s="31"/>
      <c r="F191" s="34"/>
      <c r="G191" s="34"/>
      <c r="H191" s="31"/>
    </row>
    <row r="192" spans="1:8" x14ac:dyDescent="0.25">
      <c r="A192" s="32"/>
      <c r="B192" s="33"/>
      <c r="C192" s="31"/>
      <c r="D192" s="31"/>
      <c r="E192" s="31"/>
      <c r="F192" s="34"/>
      <c r="G192" s="34"/>
      <c r="H192" s="31"/>
    </row>
    <row r="193" spans="1:8" x14ac:dyDescent="0.25">
      <c r="A193" s="32"/>
      <c r="B193" s="33"/>
      <c r="C193" s="31"/>
      <c r="D193" s="31"/>
      <c r="E193" s="31"/>
      <c r="F193" s="34"/>
      <c r="G193" s="34"/>
      <c r="H193" s="31"/>
    </row>
    <row r="194" spans="1:8" x14ac:dyDescent="0.25">
      <c r="A194" s="32"/>
      <c r="B194" s="33"/>
      <c r="C194" s="31"/>
      <c r="D194" s="31"/>
      <c r="E194" s="31"/>
      <c r="F194" s="34"/>
      <c r="G194" s="34"/>
      <c r="H194" s="31"/>
    </row>
    <row r="195" spans="1:8" x14ac:dyDescent="0.25">
      <c r="A195" s="32"/>
      <c r="B195" s="33"/>
      <c r="C195" s="31"/>
      <c r="D195" s="31"/>
      <c r="E195" s="31"/>
      <c r="F195" s="34"/>
      <c r="G195" s="34"/>
      <c r="H195" s="31"/>
    </row>
    <row r="196" spans="1:8" x14ac:dyDescent="0.25">
      <c r="A196" s="32"/>
      <c r="B196" s="33"/>
      <c r="C196" s="31"/>
      <c r="D196" s="31"/>
      <c r="E196" s="31"/>
      <c r="F196" s="34"/>
      <c r="G196" s="34"/>
      <c r="H196" s="31"/>
    </row>
    <row r="197" spans="1:8" x14ac:dyDescent="0.25">
      <c r="A197" s="32"/>
      <c r="B197" s="33"/>
      <c r="C197" s="31"/>
      <c r="D197" s="31"/>
      <c r="E197" s="31"/>
      <c r="F197" s="34"/>
      <c r="G197" s="34"/>
      <c r="H197" s="31"/>
    </row>
    <row r="198" spans="1:8" x14ac:dyDescent="0.25">
      <c r="A198" s="32"/>
      <c r="B198" s="33"/>
      <c r="C198" s="31"/>
      <c r="D198" s="31"/>
      <c r="E198" s="31"/>
      <c r="F198" s="34"/>
      <c r="G198" s="34"/>
      <c r="H198" s="3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5A59-DEAC-4DA4-8334-23FDA2832988}">
  <sheetPr codeName="Hoja5">
    <tabColor theme="6" tint="0.39997558519241921"/>
  </sheetPr>
  <dimension ref="A1:G1143"/>
  <sheetViews>
    <sheetView tabSelected="1" zoomScale="140" zoomScaleNormal="140" workbookViewId="0">
      <selection activeCell="D6" sqref="D6"/>
    </sheetView>
  </sheetViews>
  <sheetFormatPr baseColWidth="10" defaultRowHeight="15" x14ac:dyDescent="0.25"/>
  <cols>
    <col min="4" max="4" width="29.85546875" customWidth="1"/>
    <col min="6" max="6" width="19" bestFit="1" customWidth="1"/>
  </cols>
  <sheetData>
    <row r="1" spans="1:7" x14ac:dyDescent="0.25">
      <c r="A1" s="2" t="s">
        <v>50</v>
      </c>
      <c r="B1" s="2" t="s">
        <v>55</v>
      </c>
      <c r="C1" s="2" t="s">
        <v>0</v>
      </c>
      <c r="D1" s="2" t="s">
        <v>1</v>
      </c>
      <c r="E1" s="2" t="s">
        <v>56</v>
      </c>
      <c r="F1" s="2" t="s">
        <v>3</v>
      </c>
      <c r="G1" s="2" t="s">
        <v>68</v>
      </c>
    </row>
    <row r="2" spans="1:7" x14ac:dyDescent="0.25">
      <c r="A2" s="1">
        <v>1</v>
      </c>
      <c r="B2" s="1">
        <v>1</v>
      </c>
      <c r="C2" s="1" t="s">
        <v>28</v>
      </c>
      <c r="D2" s="1" t="s">
        <v>107</v>
      </c>
      <c r="E2" s="1">
        <v>1</v>
      </c>
      <c r="F2" s="49">
        <v>6000</v>
      </c>
      <c r="G2" s="49">
        <v>6000</v>
      </c>
    </row>
    <row r="3" spans="1:7" x14ac:dyDescent="0.25">
      <c r="A3" s="1">
        <v>1</v>
      </c>
      <c r="B3" s="1">
        <v>2</v>
      </c>
      <c r="C3" s="1" t="s">
        <v>28</v>
      </c>
      <c r="D3" s="1" t="s">
        <v>107</v>
      </c>
      <c r="E3" s="1">
        <v>1</v>
      </c>
      <c r="F3" s="49">
        <v>6000</v>
      </c>
      <c r="G3" s="49">
        <v>6000</v>
      </c>
    </row>
    <row r="4" spans="1:7" x14ac:dyDescent="0.25">
      <c r="A4" s="1">
        <v>1</v>
      </c>
      <c r="B4" s="1">
        <v>3</v>
      </c>
      <c r="C4" s="1" t="s">
        <v>28</v>
      </c>
      <c r="D4" s="1" t="s">
        <v>107</v>
      </c>
      <c r="E4" s="1">
        <v>1</v>
      </c>
      <c r="F4" s="49">
        <v>6000</v>
      </c>
      <c r="G4" s="49">
        <v>6000</v>
      </c>
    </row>
    <row r="5" spans="1:7" x14ac:dyDescent="0.25">
      <c r="A5" s="1">
        <v>1</v>
      </c>
      <c r="B5" s="1">
        <v>4</v>
      </c>
      <c r="C5" s="1" t="s">
        <v>28</v>
      </c>
      <c r="D5" s="1" t="s">
        <v>107</v>
      </c>
      <c r="E5" s="1">
        <v>1</v>
      </c>
      <c r="F5" s="49">
        <v>6000</v>
      </c>
      <c r="G5" s="49">
        <v>6000</v>
      </c>
    </row>
    <row r="6" spans="1:7" x14ac:dyDescent="0.25">
      <c r="A6" s="1">
        <v>1</v>
      </c>
      <c r="B6" s="1">
        <v>5</v>
      </c>
      <c r="C6" s="1" t="s">
        <v>10</v>
      </c>
      <c r="D6" s="1" t="s">
        <v>15</v>
      </c>
      <c r="E6" s="1">
        <v>1</v>
      </c>
      <c r="F6" s="49">
        <v>10000</v>
      </c>
      <c r="G6" s="49">
        <v>10000</v>
      </c>
    </row>
    <row r="7" spans="1:7" x14ac:dyDescent="0.25">
      <c r="A7" s="1">
        <v>1</v>
      </c>
      <c r="B7" s="1">
        <v>6</v>
      </c>
      <c r="C7" s="1" t="s">
        <v>65</v>
      </c>
      <c r="D7" s="1" t="s">
        <v>16</v>
      </c>
      <c r="E7" s="1">
        <v>1</v>
      </c>
      <c r="F7" s="49">
        <v>10000</v>
      </c>
      <c r="G7" s="49">
        <v>10000</v>
      </c>
    </row>
    <row r="8" spans="1:7" x14ac:dyDescent="0.25">
      <c r="A8" s="1">
        <v>2</v>
      </c>
      <c r="B8" s="1">
        <v>1</v>
      </c>
      <c r="C8" s="1" t="s">
        <v>28</v>
      </c>
      <c r="D8" s="1" t="s">
        <v>107</v>
      </c>
      <c r="E8" s="1">
        <v>1</v>
      </c>
      <c r="F8" s="49">
        <v>6000</v>
      </c>
      <c r="G8" s="49">
        <v>6000</v>
      </c>
    </row>
    <row r="9" spans="1:7" x14ac:dyDescent="0.25">
      <c r="A9" s="1">
        <v>2</v>
      </c>
      <c r="B9" s="1">
        <v>2</v>
      </c>
      <c r="C9" s="1" t="s">
        <v>28</v>
      </c>
      <c r="D9" s="1" t="s">
        <v>107</v>
      </c>
      <c r="E9" s="1">
        <v>1</v>
      </c>
      <c r="F9" s="49">
        <v>6000</v>
      </c>
      <c r="G9" s="49">
        <v>6000</v>
      </c>
    </row>
    <row r="10" spans="1:7" x14ac:dyDescent="0.25">
      <c r="A10" s="1">
        <v>2</v>
      </c>
      <c r="B10" s="1">
        <v>3</v>
      </c>
      <c r="C10" s="1" t="s">
        <v>110</v>
      </c>
      <c r="D10" s="1" t="s">
        <v>115</v>
      </c>
      <c r="E10" s="1">
        <v>1</v>
      </c>
      <c r="F10" s="49">
        <v>6000</v>
      </c>
      <c r="G10" s="49">
        <v>6000</v>
      </c>
    </row>
    <row r="11" spans="1:7" x14ac:dyDescent="0.25">
      <c r="A11" s="1">
        <v>3</v>
      </c>
      <c r="B11" s="1">
        <v>1</v>
      </c>
      <c r="C11" s="1" t="s">
        <v>112</v>
      </c>
      <c r="D11" s="1" t="s">
        <v>114</v>
      </c>
      <c r="E11" s="1">
        <v>1</v>
      </c>
      <c r="F11" s="49">
        <v>6000</v>
      </c>
      <c r="G11" s="49">
        <v>6000</v>
      </c>
    </row>
    <row r="12" spans="1:7" x14ac:dyDescent="0.25">
      <c r="A12" s="1">
        <v>4</v>
      </c>
      <c r="B12" s="1">
        <v>1</v>
      </c>
      <c r="C12" s="1" t="s">
        <v>21</v>
      </c>
      <c r="D12" s="1" t="s">
        <v>5</v>
      </c>
      <c r="E12" s="1">
        <v>2</v>
      </c>
      <c r="F12" s="49">
        <v>3000</v>
      </c>
      <c r="G12" s="49">
        <v>6000</v>
      </c>
    </row>
    <row r="13" spans="1:7" x14ac:dyDescent="0.25">
      <c r="A13" s="1">
        <v>4</v>
      </c>
      <c r="B13" s="1">
        <v>2</v>
      </c>
      <c r="C13" s="1" t="s">
        <v>158</v>
      </c>
      <c r="D13" s="1" t="s">
        <v>159</v>
      </c>
      <c r="E13" s="1">
        <v>1</v>
      </c>
      <c r="F13" s="49">
        <v>1400</v>
      </c>
      <c r="G13" s="49">
        <v>1400</v>
      </c>
    </row>
    <row r="14" spans="1:7" x14ac:dyDescent="0.25">
      <c r="A14" s="1">
        <v>4</v>
      </c>
      <c r="B14" s="1">
        <v>3</v>
      </c>
      <c r="C14" s="1" t="s">
        <v>127</v>
      </c>
      <c r="D14" s="1" t="s">
        <v>128</v>
      </c>
      <c r="E14" s="1">
        <v>1</v>
      </c>
      <c r="F14" s="49">
        <v>4000</v>
      </c>
      <c r="G14" s="49">
        <v>4000</v>
      </c>
    </row>
    <row r="15" spans="1:7" x14ac:dyDescent="0.25">
      <c r="A15" s="1">
        <v>5</v>
      </c>
      <c r="B15" s="1">
        <v>1</v>
      </c>
      <c r="C15" s="1" t="s">
        <v>112</v>
      </c>
      <c r="D15" s="1" t="s">
        <v>114</v>
      </c>
      <c r="E15" s="1">
        <v>2</v>
      </c>
      <c r="F15" s="49">
        <v>6000</v>
      </c>
      <c r="G15" s="49">
        <v>12000</v>
      </c>
    </row>
    <row r="16" spans="1:7" x14ac:dyDescent="0.25">
      <c r="A16" s="1">
        <v>6</v>
      </c>
      <c r="B16" s="1">
        <v>1</v>
      </c>
      <c r="C16" s="1" t="s">
        <v>28</v>
      </c>
      <c r="D16" s="1" t="s">
        <v>107</v>
      </c>
      <c r="E16" s="1">
        <v>1</v>
      </c>
      <c r="F16" s="49">
        <v>6000</v>
      </c>
      <c r="G16" s="49">
        <v>6000</v>
      </c>
    </row>
    <row r="17" spans="1:7" x14ac:dyDescent="0.25">
      <c r="A17" s="1">
        <v>6</v>
      </c>
      <c r="B17" s="1">
        <v>2</v>
      </c>
      <c r="C17" s="1" t="s">
        <v>28</v>
      </c>
      <c r="D17" s="1" t="s">
        <v>107</v>
      </c>
      <c r="E17" s="1">
        <v>1</v>
      </c>
      <c r="F17" s="49">
        <v>6000</v>
      </c>
      <c r="G17" s="49">
        <v>6000</v>
      </c>
    </row>
    <row r="18" spans="1:7" x14ac:dyDescent="0.25">
      <c r="A18" s="1">
        <v>7</v>
      </c>
      <c r="B18" s="1">
        <v>1</v>
      </c>
      <c r="C18" s="1" t="s">
        <v>28</v>
      </c>
      <c r="D18" s="1" t="s">
        <v>107</v>
      </c>
      <c r="E18" s="1">
        <v>1</v>
      </c>
      <c r="F18" s="49">
        <v>6000</v>
      </c>
      <c r="G18" s="49">
        <v>6000</v>
      </c>
    </row>
    <row r="19" spans="1:7" x14ac:dyDescent="0.25">
      <c r="A19" s="1">
        <v>7</v>
      </c>
      <c r="B19" s="1">
        <v>2</v>
      </c>
      <c r="C19" s="1" t="s">
        <v>110</v>
      </c>
      <c r="D19" s="1" t="s">
        <v>115</v>
      </c>
      <c r="E19" s="1">
        <v>1</v>
      </c>
      <c r="F19" s="49">
        <v>6000</v>
      </c>
      <c r="G19" s="49">
        <v>6000</v>
      </c>
    </row>
    <row r="20" spans="1:7" x14ac:dyDescent="0.25">
      <c r="A20" s="1">
        <v>7</v>
      </c>
      <c r="B20" s="1">
        <v>3</v>
      </c>
      <c r="C20" s="1" t="s">
        <v>65</v>
      </c>
      <c r="D20" s="1" t="s">
        <v>16</v>
      </c>
      <c r="E20" s="1">
        <v>1</v>
      </c>
      <c r="F20" s="49">
        <v>10000</v>
      </c>
      <c r="G20" s="49">
        <v>10000</v>
      </c>
    </row>
    <row r="21" spans="1:7" x14ac:dyDescent="0.25">
      <c r="A21" s="1">
        <v>7</v>
      </c>
      <c r="B21" s="1">
        <v>4</v>
      </c>
      <c r="C21" s="1" t="s">
        <v>65</v>
      </c>
      <c r="D21" s="1" t="s">
        <v>16</v>
      </c>
      <c r="E21" s="1">
        <v>1</v>
      </c>
      <c r="F21" s="49">
        <v>10000</v>
      </c>
      <c r="G21" s="49">
        <v>10000</v>
      </c>
    </row>
    <row r="22" spans="1:7" x14ac:dyDescent="0.25">
      <c r="A22" s="1">
        <v>8</v>
      </c>
      <c r="B22" s="1">
        <v>1</v>
      </c>
      <c r="C22" s="1" t="s">
        <v>24</v>
      </c>
      <c r="D22" s="1" t="s">
        <v>105</v>
      </c>
      <c r="E22" s="1">
        <v>1</v>
      </c>
      <c r="F22" s="49">
        <v>7000</v>
      </c>
      <c r="G22" s="49">
        <v>7000</v>
      </c>
    </row>
    <row r="23" spans="1:7" x14ac:dyDescent="0.25">
      <c r="A23" s="1">
        <v>8</v>
      </c>
      <c r="B23" s="1">
        <v>2</v>
      </c>
      <c r="C23" s="1" t="s">
        <v>24</v>
      </c>
      <c r="D23" s="1" t="s">
        <v>105</v>
      </c>
      <c r="E23" s="1">
        <v>2</v>
      </c>
      <c r="F23" s="49">
        <v>7000</v>
      </c>
      <c r="G23" s="49">
        <v>14000</v>
      </c>
    </row>
    <row r="24" spans="1:7" x14ac:dyDescent="0.25">
      <c r="A24" s="1">
        <v>8</v>
      </c>
      <c r="B24" s="1">
        <v>3</v>
      </c>
      <c r="C24" s="1" t="s">
        <v>25</v>
      </c>
      <c r="D24" s="1" t="s">
        <v>12</v>
      </c>
      <c r="E24" s="1">
        <v>1</v>
      </c>
      <c r="F24" s="49">
        <v>12000</v>
      </c>
      <c r="G24" s="49">
        <v>12000</v>
      </c>
    </row>
    <row r="25" spans="1:7" x14ac:dyDescent="0.25">
      <c r="A25" s="1">
        <v>8</v>
      </c>
      <c r="B25" s="1">
        <v>4</v>
      </c>
      <c r="C25" s="1" t="s">
        <v>28</v>
      </c>
      <c r="D25" s="1" t="s">
        <v>107</v>
      </c>
      <c r="E25" s="1">
        <v>1</v>
      </c>
      <c r="F25" s="49">
        <v>6000</v>
      </c>
      <c r="G25" s="49">
        <v>6000</v>
      </c>
    </row>
    <row r="26" spans="1:7" x14ac:dyDescent="0.25">
      <c r="A26" s="1">
        <v>8</v>
      </c>
      <c r="B26" s="1">
        <v>5</v>
      </c>
      <c r="C26" s="1" t="s">
        <v>24</v>
      </c>
      <c r="D26" s="1" t="s">
        <v>105</v>
      </c>
      <c r="E26" s="1">
        <v>1</v>
      </c>
      <c r="F26" s="49">
        <v>7000</v>
      </c>
      <c r="G26" s="49">
        <v>7000</v>
      </c>
    </row>
    <row r="27" spans="1:7" x14ac:dyDescent="0.25">
      <c r="A27" s="1">
        <v>9</v>
      </c>
      <c r="B27" s="1">
        <v>1</v>
      </c>
      <c r="C27" s="1" t="s">
        <v>28</v>
      </c>
      <c r="D27" s="1" t="s">
        <v>107</v>
      </c>
      <c r="E27" s="1">
        <v>1</v>
      </c>
      <c r="F27" s="49">
        <v>6000</v>
      </c>
      <c r="G27" s="49">
        <v>6000</v>
      </c>
    </row>
    <row r="28" spans="1:7" x14ac:dyDescent="0.25">
      <c r="A28" s="1">
        <v>9</v>
      </c>
      <c r="B28" s="1">
        <v>2</v>
      </c>
      <c r="C28" s="1" t="s">
        <v>28</v>
      </c>
      <c r="D28" s="1" t="s">
        <v>107</v>
      </c>
      <c r="E28" s="1">
        <v>1</v>
      </c>
      <c r="F28" s="49">
        <v>6000</v>
      </c>
      <c r="G28" s="49">
        <v>6000</v>
      </c>
    </row>
    <row r="29" spans="1:7" x14ac:dyDescent="0.25">
      <c r="A29" s="1">
        <v>9</v>
      </c>
      <c r="B29" s="1">
        <v>3</v>
      </c>
      <c r="C29" s="1" t="s">
        <v>28</v>
      </c>
      <c r="D29" s="1" t="s">
        <v>107</v>
      </c>
      <c r="E29" s="1">
        <v>1</v>
      </c>
      <c r="F29" s="49">
        <v>6000</v>
      </c>
      <c r="G29" s="49">
        <v>6000</v>
      </c>
    </row>
    <row r="30" spans="1:7" x14ac:dyDescent="0.25">
      <c r="A30" s="1">
        <v>9</v>
      </c>
      <c r="B30" s="1">
        <v>4</v>
      </c>
      <c r="C30" s="1" t="s">
        <v>25</v>
      </c>
      <c r="D30" s="1" t="s">
        <v>12</v>
      </c>
      <c r="E30" s="1">
        <v>1</v>
      </c>
      <c r="F30" s="49">
        <v>12000</v>
      </c>
      <c r="G30" s="49">
        <v>12000</v>
      </c>
    </row>
    <row r="31" spans="1:7" x14ac:dyDescent="0.25">
      <c r="A31" s="1">
        <v>10</v>
      </c>
      <c r="B31" s="1">
        <v>1</v>
      </c>
      <c r="C31" s="1" t="s">
        <v>10</v>
      </c>
      <c r="D31" s="1" t="s">
        <v>15</v>
      </c>
      <c r="E31" s="1">
        <v>1</v>
      </c>
      <c r="F31" s="49">
        <v>10000</v>
      </c>
      <c r="G31" s="49">
        <v>10000</v>
      </c>
    </row>
    <row r="32" spans="1:7" x14ac:dyDescent="0.25">
      <c r="A32" s="1">
        <v>10</v>
      </c>
      <c r="B32" s="1">
        <v>2</v>
      </c>
      <c r="C32" s="1" t="s">
        <v>112</v>
      </c>
      <c r="D32" s="1" t="s">
        <v>114</v>
      </c>
      <c r="E32" s="1">
        <v>1</v>
      </c>
      <c r="F32" s="49">
        <v>6000</v>
      </c>
      <c r="G32" s="49">
        <v>6000</v>
      </c>
    </row>
    <row r="33" spans="1:7" x14ac:dyDescent="0.25">
      <c r="A33" s="1">
        <v>11</v>
      </c>
      <c r="B33" s="1">
        <v>1</v>
      </c>
      <c r="C33" s="1" t="s">
        <v>24</v>
      </c>
      <c r="D33" s="1" t="s">
        <v>105</v>
      </c>
      <c r="E33" s="1">
        <v>1</v>
      </c>
      <c r="F33" s="49">
        <v>7000</v>
      </c>
      <c r="G33" s="49">
        <v>7000</v>
      </c>
    </row>
    <row r="34" spans="1:7" x14ac:dyDescent="0.25">
      <c r="A34" s="1">
        <v>11</v>
      </c>
      <c r="B34" s="1">
        <v>2</v>
      </c>
      <c r="C34" s="1" t="s">
        <v>10</v>
      </c>
      <c r="D34" s="1" t="s">
        <v>15</v>
      </c>
      <c r="E34" s="1">
        <v>1</v>
      </c>
      <c r="F34" s="49">
        <v>10000</v>
      </c>
      <c r="G34" s="49">
        <v>10000</v>
      </c>
    </row>
    <row r="35" spans="1:7" x14ac:dyDescent="0.25">
      <c r="A35" s="1">
        <v>11</v>
      </c>
      <c r="B35" s="1">
        <v>3</v>
      </c>
      <c r="C35" s="1" t="s">
        <v>65</v>
      </c>
      <c r="D35" s="1" t="s">
        <v>16</v>
      </c>
      <c r="E35" s="1">
        <v>1</v>
      </c>
      <c r="F35" s="49">
        <v>10000</v>
      </c>
      <c r="G35" s="49">
        <v>10000</v>
      </c>
    </row>
    <row r="36" spans="1:7" x14ac:dyDescent="0.25">
      <c r="A36" s="1">
        <v>11</v>
      </c>
      <c r="B36" s="1">
        <v>4</v>
      </c>
      <c r="C36" s="1" t="s">
        <v>24</v>
      </c>
      <c r="D36" s="1" t="s">
        <v>105</v>
      </c>
      <c r="E36" s="1">
        <v>1</v>
      </c>
      <c r="F36" s="49">
        <v>7000</v>
      </c>
      <c r="G36" s="49">
        <v>7000</v>
      </c>
    </row>
    <row r="37" spans="1:7" x14ac:dyDescent="0.25">
      <c r="A37" s="1">
        <v>11</v>
      </c>
      <c r="B37" s="1">
        <v>5</v>
      </c>
      <c r="C37" s="1" t="s">
        <v>28</v>
      </c>
      <c r="D37" s="1" t="s">
        <v>107</v>
      </c>
      <c r="E37" s="1">
        <v>1</v>
      </c>
      <c r="F37" s="49">
        <v>6000</v>
      </c>
      <c r="G37" s="49">
        <v>6000</v>
      </c>
    </row>
    <row r="38" spans="1:7" x14ac:dyDescent="0.25">
      <c r="A38" s="1">
        <v>12</v>
      </c>
      <c r="B38" s="1">
        <v>1</v>
      </c>
      <c r="C38" s="1" t="s">
        <v>24</v>
      </c>
      <c r="D38" s="1" t="s">
        <v>105</v>
      </c>
      <c r="E38" s="1">
        <v>2</v>
      </c>
      <c r="F38" s="49">
        <v>7000</v>
      </c>
      <c r="G38" s="49">
        <v>14000</v>
      </c>
    </row>
    <row r="39" spans="1:7" x14ac:dyDescent="0.25">
      <c r="A39" s="1">
        <v>12</v>
      </c>
      <c r="B39" s="1">
        <v>2</v>
      </c>
      <c r="C39" s="1" t="s">
        <v>24</v>
      </c>
      <c r="D39" s="1" t="s">
        <v>105</v>
      </c>
      <c r="E39" s="1">
        <v>1</v>
      </c>
      <c r="F39" s="49">
        <v>7000</v>
      </c>
      <c r="G39" s="49">
        <v>7000</v>
      </c>
    </row>
    <row r="40" spans="1:7" ht="30" x14ac:dyDescent="0.25">
      <c r="A40" s="1">
        <v>13</v>
      </c>
      <c r="B40" s="1">
        <v>1</v>
      </c>
      <c r="C40" s="1" t="s">
        <v>113</v>
      </c>
      <c r="D40" s="1" t="s">
        <v>171</v>
      </c>
      <c r="E40" s="1">
        <v>1</v>
      </c>
      <c r="F40" s="49">
        <v>6000</v>
      </c>
      <c r="G40" s="49">
        <v>6000</v>
      </c>
    </row>
    <row r="41" spans="1:7" x14ac:dyDescent="0.25">
      <c r="A41" s="1">
        <v>13</v>
      </c>
      <c r="B41" s="1">
        <v>2</v>
      </c>
      <c r="C41" s="1" t="s">
        <v>10</v>
      </c>
      <c r="D41" s="1" t="s">
        <v>15</v>
      </c>
      <c r="E41" s="1">
        <v>2</v>
      </c>
      <c r="F41" s="49">
        <v>10000</v>
      </c>
      <c r="G41" s="49">
        <v>20000</v>
      </c>
    </row>
    <row r="42" spans="1:7" x14ac:dyDescent="0.25">
      <c r="A42" s="1">
        <v>14</v>
      </c>
      <c r="B42" s="1">
        <v>1</v>
      </c>
      <c r="C42" s="1" t="s">
        <v>28</v>
      </c>
      <c r="D42" s="1" t="s">
        <v>107</v>
      </c>
      <c r="E42" s="1">
        <v>1</v>
      </c>
      <c r="F42" s="49">
        <v>6000</v>
      </c>
      <c r="G42" s="49">
        <v>6000</v>
      </c>
    </row>
    <row r="43" spans="1:7" x14ac:dyDescent="0.25">
      <c r="A43" s="1">
        <v>14</v>
      </c>
      <c r="B43" s="1">
        <v>2</v>
      </c>
      <c r="C43" s="1" t="s">
        <v>28</v>
      </c>
      <c r="D43" s="1" t="s">
        <v>107</v>
      </c>
      <c r="E43" s="1">
        <v>2</v>
      </c>
      <c r="F43" s="49">
        <v>6000</v>
      </c>
      <c r="G43" s="49">
        <v>12000</v>
      </c>
    </row>
    <row r="44" spans="1:7" x14ac:dyDescent="0.25">
      <c r="A44" s="1">
        <v>14</v>
      </c>
      <c r="B44" s="1">
        <v>3</v>
      </c>
      <c r="C44" s="1" t="s">
        <v>28</v>
      </c>
      <c r="D44" s="1" t="s">
        <v>107</v>
      </c>
      <c r="E44" s="1">
        <v>2</v>
      </c>
      <c r="F44" s="49">
        <v>6000</v>
      </c>
      <c r="G44" s="49">
        <v>12000</v>
      </c>
    </row>
    <row r="45" spans="1:7" x14ac:dyDescent="0.25">
      <c r="A45" s="1">
        <v>14</v>
      </c>
      <c r="B45" s="1">
        <v>4</v>
      </c>
      <c r="C45" s="1" t="s">
        <v>28</v>
      </c>
      <c r="D45" s="1" t="s">
        <v>107</v>
      </c>
      <c r="E45" s="1">
        <v>1</v>
      </c>
      <c r="F45" s="49">
        <v>6000</v>
      </c>
      <c r="G45" s="49">
        <v>6000</v>
      </c>
    </row>
    <row r="46" spans="1:7" x14ac:dyDescent="0.25">
      <c r="A46" s="1">
        <v>14</v>
      </c>
      <c r="B46" s="1">
        <v>5</v>
      </c>
      <c r="C46" s="1" t="s">
        <v>28</v>
      </c>
      <c r="D46" s="1" t="s">
        <v>107</v>
      </c>
      <c r="E46" s="1">
        <v>1</v>
      </c>
      <c r="F46" s="49">
        <v>6000</v>
      </c>
      <c r="G46" s="49">
        <v>6000</v>
      </c>
    </row>
    <row r="47" spans="1:7" x14ac:dyDescent="0.25">
      <c r="A47" s="1">
        <v>15</v>
      </c>
      <c r="B47" s="1">
        <v>1</v>
      </c>
      <c r="C47" s="1" t="s">
        <v>21</v>
      </c>
      <c r="D47" s="1" t="s">
        <v>5</v>
      </c>
      <c r="E47" s="1">
        <v>2</v>
      </c>
      <c r="F47" s="49">
        <v>3000</v>
      </c>
      <c r="G47" s="49">
        <v>6000</v>
      </c>
    </row>
    <row r="48" spans="1:7" x14ac:dyDescent="0.25">
      <c r="A48" s="1">
        <v>16</v>
      </c>
      <c r="B48" s="1">
        <v>1</v>
      </c>
      <c r="C48" s="1" t="s">
        <v>28</v>
      </c>
      <c r="D48" s="1" t="s">
        <v>107</v>
      </c>
      <c r="E48" s="1">
        <v>1</v>
      </c>
      <c r="F48" s="49">
        <v>6000</v>
      </c>
      <c r="G48" s="49">
        <v>6000</v>
      </c>
    </row>
    <row r="49" spans="1:7" x14ac:dyDescent="0.25">
      <c r="A49" s="1">
        <v>17</v>
      </c>
      <c r="B49" s="1">
        <v>1</v>
      </c>
      <c r="C49" s="1" t="s">
        <v>65</v>
      </c>
      <c r="D49" s="1" t="s">
        <v>16</v>
      </c>
      <c r="E49" s="1">
        <v>1</v>
      </c>
      <c r="F49" s="49">
        <v>10000</v>
      </c>
      <c r="G49" s="49">
        <v>10000</v>
      </c>
    </row>
    <row r="50" spans="1:7" x14ac:dyDescent="0.25">
      <c r="A50" s="1">
        <v>17</v>
      </c>
      <c r="B50" s="1">
        <v>2</v>
      </c>
      <c r="C50" s="1" t="s">
        <v>65</v>
      </c>
      <c r="D50" s="1" t="s">
        <v>16</v>
      </c>
      <c r="E50" s="1">
        <v>1</v>
      </c>
      <c r="F50" s="49">
        <v>10000</v>
      </c>
      <c r="G50" s="49">
        <v>10000</v>
      </c>
    </row>
    <row r="51" spans="1:7" ht="30" x14ac:dyDescent="0.25">
      <c r="A51" s="1">
        <v>18</v>
      </c>
      <c r="B51" s="1">
        <v>1</v>
      </c>
      <c r="C51" s="1" t="s">
        <v>113</v>
      </c>
      <c r="D51" s="1" t="s">
        <v>171</v>
      </c>
      <c r="E51" s="1">
        <v>2</v>
      </c>
      <c r="F51" s="49">
        <v>6000</v>
      </c>
      <c r="G51" s="49">
        <v>12000</v>
      </c>
    </row>
    <row r="52" spans="1:7" x14ac:dyDescent="0.25">
      <c r="A52" s="1">
        <v>18</v>
      </c>
      <c r="B52" s="1">
        <v>2</v>
      </c>
      <c r="C52" s="1" t="s">
        <v>65</v>
      </c>
      <c r="D52" s="1" t="s">
        <v>16</v>
      </c>
      <c r="E52" s="1">
        <v>2</v>
      </c>
      <c r="F52" s="49">
        <v>10000</v>
      </c>
      <c r="G52" s="49">
        <v>20000</v>
      </c>
    </row>
    <row r="53" spans="1:7" ht="30" x14ac:dyDescent="0.25">
      <c r="A53" s="1">
        <v>19</v>
      </c>
      <c r="B53" s="1">
        <v>1</v>
      </c>
      <c r="C53" s="1" t="s">
        <v>113</v>
      </c>
      <c r="D53" s="1" t="s">
        <v>171</v>
      </c>
      <c r="E53" s="1">
        <v>1</v>
      </c>
      <c r="F53" s="49">
        <v>6000</v>
      </c>
      <c r="G53" s="49">
        <v>6000</v>
      </c>
    </row>
    <row r="54" spans="1:7" x14ac:dyDescent="0.25">
      <c r="A54" s="1">
        <v>19</v>
      </c>
      <c r="B54" s="1">
        <v>2</v>
      </c>
      <c r="C54" s="1" t="s">
        <v>10</v>
      </c>
      <c r="D54" s="1" t="s">
        <v>15</v>
      </c>
      <c r="E54" s="1">
        <v>1</v>
      </c>
      <c r="F54" s="49">
        <v>10000</v>
      </c>
      <c r="G54" s="49">
        <v>10000</v>
      </c>
    </row>
    <row r="55" spans="1:7" x14ac:dyDescent="0.25">
      <c r="A55" s="1">
        <v>20</v>
      </c>
      <c r="B55" s="1">
        <v>1</v>
      </c>
      <c r="C55" s="1" t="s">
        <v>110</v>
      </c>
      <c r="D55" s="1" t="s">
        <v>115</v>
      </c>
      <c r="E55" s="1">
        <v>1</v>
      </c>
      <c r="F55" s="49">
        <v>6000</v>
      </c>
      <c r="G55" s="49">
        <v>6000</v>
      </c>
    </row>
    <row r="56" spans="1:7" x14ac:dyDescent="0.25">
      <c r="A56" s="1">
        <v>21</v>
      </c>
      <c r="B56" s="1">
        <v>1</v>
      </c>
      <c r="C56" s="1" t="s">
        <v>127</v>
      </c>
      <c r="D56" s="1" t="s">
        <v>128</v>
      </c>
      <c r="E56" s="1">
        <v>1</v>
      </c>
      <c r="F56" s="49">
        <v>4000</v>
      </c>
      <c r="G56" s="49">
        <v>4000</v>
      </c>
    </row>
    <row r="57" spans="1:7" x14ac:dyDescent="0.25">
      <c r="A57" s="1">
        <v>21</v>
      </c>
      <c r="B57" s="1">
        <v>2</v>
      </c>
      <c r="C57" s="1" t="s">
        <v>10</v>
      </c>
      <c r="D57" s="1" t="s">
        <v>15</v>
      </c>
      <c r="E57" s="1">
        <v>1</v>
      </c>
      <c r="F57" s="49">
        <v>10000</v>
      </c>
      <c r="G57" s="49">
        <v>10000</v>
      </c>
    </row>
    <row r="58" spans="1:7" x14ac:dyDescent="0.25">
      <c r="A58" s="1">
        <v>22</v>
      </c>
      <c r="B58" s="1">
        <v>1</v>
      </c>
      <c r="C58" s="1" t="s">
        <v>10</v>
      </c>
      <c r="D58" s="1" t="s">
        <v>15</v>
      </c>
      <c r="E58" s="1">
        <v>2</v>
      </c>
      <c r="F58" s="49">
        <v>10000</v>
      </c>
      <c r="G58" s="49">
        <v>20000</v>
      </c>
    </row>
    <row r="59" spans="1:7" x14ac:dyDescent="0.25">
      <c r="A59" s="1">
        <v>22</v>
      </c>
      <c r="B59" s="1">
        <v>2</v>
      </c>
      <c r="C59" s="1" t="s">
        <v>65</v>
      </c>
      <c r="D59" s="1" t="s">
        <v>16</v>
      </c>
      <c r="E59" s="1">
        <v>1</v>
      </c>
      <c r="F59" s="49">
        <v>10000</v>
      </c>
      <c r="G59" s="49">
        <v>10000</v>
      </c>
    </row>
    <row r="60" spans="1:7" ht="30" x14ac:dyDescent="0.25">
      <c r="A60" s="1">
        <v>22</v>
      </c>
      <c r="B60" s="1">
        <v>3</v>
      </c>
      <c r="C60" s="1" t="s">
        <v>113</v>
      </c>
      <c r="D60" s="1" t="s">
        <v>171</v>
      </c>
      <c r="E60" s="1">
        <v>2</v>
      </c>
      <c r="F60" s="49">
        <v>6000</v>
      </c>
      <c r="G60" s="49">
        <v>12000</v>
      </c>
    </row>
    <row r="61" spans="1:7" x14ac:dyDescent="0.25">
      <c r="A61" s="1">
        <v>23</v>
      </c>
      <c r="B61" s="1">
        <v>1</v>
      </c>
      <c r="C61" s="1" t="s">
        <v>10</v>
      </c>
      <c r="D61" s="1" t="s">
        <v>15</v>
      </c>
      <c r="E61" s="1">
        <v>1</v>
      </c>
      <c r="F61" s="49">
        <v>10000</v>
      </c>
      <c r="G61" s="49">
        <v>10000</v>
      </c>
    </row>
    <row r="62" spans="1:7" x14ac:dyDescent="0.25">
      <c r="A62" s="1">
        <v>24</v>
      </c>
      <c r="B62" s="1">
        <v>1</v>
      </c>
      <c r="C62" s="1" t="s">
        <v>22</v>
      </c>
      <c r="D62" s="1" t="s">
        <v>104</v>
      </c>
      <c r="E62" s="1">
        <v>1</v>
      </c>
      <c r="F62" s="49">
        <v>7000</v>
      </c>
      <c r="G62" s="49">
        <v>7000</v>
      </c>
    </row>
    <row r="63" spans="1:7" x14ac:dyDescent="0.25">
      <c r="A63" s="1">
        <v>24</v>
      </c>
      <c r="B63" s="1">
        <v>2</v>
      </c>
      <c r="C63" s="1" t="s">
        <v>110</v>
      </c>
      <c r="D63" s="1" t="s">
        <v>115</v>
      </c>
      <c r="E63" s="1">
        <v>2</v>
      </c>
      <c r="F63" s="49">
        <v>6000</v>
      </c>
      <c r="G63" s="49">
        <v>12000</v>
      </c>
    </row>
    <row r="64" spans="1:7" x14ac:dyDescent="0.25">
      <c r="A64" s="1">
        <v>24</v>
      </c>
      <c r="B64" s="1">
        <v>3</v>
      </c>
      <c r="C64" s="1" t="s">
        <v>21</v>
      </c>
      <c r="D64" s="1" t="s">
        <v>5</v>
      </c>
      <c r="E64" s="1">
        <v>1</v>
      </c>
      <c r="F64" s="49">
        <v>3000</v>
      </c>
      <c r="G64" s="49">
        <v>3000</v>
      </c>
    </row>
    <row r="65" spans="1:7" x14ac:dyDescent="0.25">
      <c r="A65" s="1">
        <v>24</v>
      </c>
      <c r="B65" s="1">
        <v>4</v>
      </c>
      <c r="C65" s="1" t="s">
        <v>65</v>
      </c>
      <c r="D65" s="1" t="s">
        <v>16</v>
      </c>
      <c r="E65" s="1">
        <v>2</v>
      </c>
      <c r="F65" s="49">
        <v>10000</v>
      </c>
      <c r="G65" s="49">
        <v>20000</v>
      </c>
    </row>
    <row r="66" spans="1:7" x14ac:dyDescent="0.25">
      <c r="A66" s="1">
        <v>24</v>
      </c>
      <c r="B66" s="1">
        <v>5</v>
      </c>
      <c r="C66" s="1" t="s">
        <v>28</v>
      </c>
      <c r="D66" s="1" t="s">
        <v>107</v>
      </c>
      <c r="E66" s="1">
        <v>1</v>
      </c>
      <c r="F66" s="49">
        <v>6000</v>
      </c>
      <c r="G66" s="49">
        <v>6000</v>
      </c>
    </row>
    <row r="67" spans="1:7" x14ac:dyDescent="0.25">
      <c r="A67" s="1">
        <v>24</v>
      </c>
      <c r="B67" s="1">
        <v>6</v>
      </c>
      <c r="C67" s="1" t="s">
        <v>21</v>
      </c>
      <c r="D67" s="1" t="s">
        <v>5</v>
      </c>
      <c r="E67" s="1">
        <v>1</v>
      </c>
      <c r="F67" s="49">
        <v>3000</v>
      </c>
      <c r="G67" s="49">
        <v>3000</v>
      </c>
    </row>
    <row r="68" spans="1:7" x14ac:dyDescent="0.25">
      <c r="A68" s="1">
        <v>25</v>
      </c>
      <c r="B68" s="1">
        <v>1</v>
      </c>
      <c r="C68" s="1" t="s">
        <v>110</v>
      </c>
      <c r="D68" s="1" t="s">
        <v>115</v>
      </c>
      <c r="E68" s="1">
        <v>1</v>
      </c>
      <c r="F68" s="49">
        <v>6000</v>
      </c>
      <c r="G68" s="49">
        <v>6000</v>
      </c>
    </row>
    <row r="69" spans="1:7" x14ac:dyDescent="0.25">
      <c r="A69" s="1">
        <v>25</v>
      </c>
      <c r="B69" s="1">
        <v>2</v>
      </c>
      <c r="C69" s="1" t="s">
        <v>21</v>
      </c>
      <c r="D69" s="1" t="s">
        <v>5</v>
      </c>
      <c r="E69" s="1">
        <v>1</v>
      </c>
      <c r="F69" s="49">
        <v>3000</v>
      </c>
      <c r="G69" s="49">
        <v>3000</v>
      </c>
    </row>
    <row r="70" spans="1:7" x14ac:dyDescent="0.25">
      <c r="A70" s="1">
        <v>25</v>
      </c>
      <c r="B70" s="1">
        <v>3</v>
      </c>
      <c r="C70" s="1" t="s">
        <v>110</v>
      </c>
      <c r="D70" s="1" t="s">
        <v>115</v>
      </c>
      <c r="E70" s="1">
        <v>1</v>
      </c>
      <c r="F70" s="49">
        <v>6000</v>
      </c>
      <c r="G70" s="49">
        <v>6000</v>
      </c>
    </row>
    <row r="71" spans="1:7" x14ac:dyDescent="0.25">
      <c r="A71" s="1">
        <v>25</v>
      </c>
      <c r="B71" s="1">
        <v>4</v>
      </c>
      <c r="C71" s="1" t="s">
        <v>182</v>
      </c>
      <c r="D71" s="1" t="s">
        <v>183</v>
      </c>
      <c r="E71" s="1">
        <v>2</v>
      </c>
      <c r="F71" s="49">
        <v>9000</v>
      </c>
      <c r="G71" s="49">
        <v>18000</v>
      </c>
    </row>
    <row r="72" spans="1:7" x14ac:dyDescent="0.25">
      <c r="A72" s="1">
        <v>26</v>
      </c>
      <c r="B72" s="1">
        <v>1</v>
      </c>
      <c r="C72" s="1" t="s">
        <v>21</v>
      </c>
      <c r="D72" s="1" t="s">
        <v>5</v>
      </c>
      <c r="E72" s="1">
        <v>2</v>
      </c>
      <c r="F72" s="49">
        <v>3000</v>
      </c>
      <c r="G72" s="49">
        <v>6000</v>
      </c>
    </row>
    <row r="73" spans="1:7" x14ac:dyDescent="0.25">
      <c r="A73" s="1">
        <v>26</v>
      </c>
      <c r="B73" s="1">
        <v>2</v>
      </c>
      <c r="C73" s="1" t="s">
        <v>110</v>
      </c>
      <c r="D73" s="1" t="s">
        <v>115</v>
      </c>
      <c r="E73" s="1">
        <v>1</v>
      </c>
      <c r="F73" s="49">
        <v>6000</v>
      </c>
      <c r="G73" s="49">
        <v>6000</v>
      </c>
    </row>
    <row r="74" spans="1:7" x14ac:dyDescent="0.25">
      <c r="A74" s="1">
        <v>26</v>
      </c>
      <c r="B74" s="1">
        <v>3</v>
      </c>
      <c r="C74" s="1" t="s">
        <v>65</v>
      </c>
      <c r="D74" s="1" t="s">
        <v>16</v>
      </c>
      <c r="E74" s="1">
        <v>2</v>
      </c>
      <c r="F74" s="49">
        <v>10000</v>
      </c>
      <c r="G74" s="49">
        <v>20000</v>
      </c>
    </row>
    <row r="75" spans="1:7" ht="30" x14ac:dyDescent="0.25">
      <c r="A75" s="1">
        <v>26</v>
      </c>
      <c r="B75" s="1">
        <v>4</v>
      </c>
      <c r="C75" s="1" t="s">
        <v>113</v>
      </c>
      <c r="D75" s="1" t="s">
        <v>171</v>
      </c>
      <c r="E75" s="1">
        <v>1</v>
      </c>
      <c r="F75" s="49">
        <v>6000</v>
      </c>
      <c r="G75" s="49">
        <v>6000</v>
      </c>
    </row>
    <row r="76" spans="1:7" x14ac:dyDescent="0.25">
      <c r="A76" s="1">
        <v>26</v>
      </c>
      <c r="B76" s="1">
        <v>5</v>
      </c>
      <c r="C76" s="1" t="s">
        <v>186</v>
      </c>
      <c r="D76" s="1" t="s">
        <v>187</v>
      </c>
      <c r="E76" s="1">
        <v>1</v>
      </c>
      <c r="F76" s="49">
        <v>3000</v>
      </c>
      <c r="G76" s="49">
        <v>3000</v>
      </c>
    </row>
    <row r="77" spans="1:7" x14ac:dyDescent="0.25">
      <c r="A77" s="1">
        <v>26</v>
      </c>
      <c r="B77" s="1">
        <v>6</v>
      </c>
      <c r="C77" s="1" t="s">
        <v>28</v>
      </c>
      <c r="D77" s="1" t="s">
        <v>107</v>
      </c>
      <c r="E77" s="1">
        <v>3</v>
      </c>
      <c r="F77" s="49">
        <v>6000</v>
      </c>
      <c r="G77" s="49">
        <v>18000</v>
      </c>
    </row>
    <row r="78" spans="1:7" x14ac:dyDescent="0.25">
      <c r="A78" s="1">
        <v>27</v>
      </c>
      <c r="B78" s="1">
        <v>1</v>
      </c>
      <c r="C78" s="1" t="s">
        <v>127</v>
      </c>
      <c r="D78" s="1" t="s">
        <v>128</v>
      </c>
      <c r="E78" s="1">
        <v>2</v>
      </c>
      <c r="F78" s="49">
        <v>4000</v>
      </c>
      <c r="G78" s="49">
        <v>8000</v>
      </c>
    </row>
    <row r="79" spans="1:7" x14ac:dyDescent="0.25">
      <c r="A79" s="1">
        <v>27</v>
      </c>
      <c r="B79" s="1">
        <v>2</v>
      </c>
      <c r="C79" s="1" t="s">
        <v>32</v>
      </c>
      <c r="D79" s="1" t="s">
        <v>9</v>
      </c>
      <c r="E79" s="1">
        <v>1</v>
      </c>
      <c r="F79" s="49">
        <v>9000</v>
      </c>
      <c r="G79" s="49">
        <v>9000</v>
      </c>
    </row>
    <row r="80" spans="1:7" x14ac:dyDescent="0.25">
      <c r="A80" s="1">
        <v>27</v>
      </c>
      <c r="B80" s="1">
        <v>3</v>
      </c>
      <c r="C80" s="1" t="s">
        <v>110</v>
      </c>
      <c r="D80" s="1" t="s">
        <v>115</v>
      </c>
      <c r="E80" s="1">
        <v>1</v>
      </c>
      <c r="F80" s="49">
        <v>6000</v>
      </c>
      <c r="G80" s="49">
        <v>6000</v>
      </c>
    </row>
    <row r="81" spans="1:7" x14ac:dyDescent="0.25">
      <c r="A81" s="1">
        <v>27</v>
      </c>
      <c r="B81" s="1">
        <v>4</v>
      </c>
      <c r="C81" s="1" t="s">
        <v>65</v>
      </c>
      <c r="D81" s="1" t="s">
        <v>16</v>
      </c>
      <c r="E81" s="1">
        <v>2</v>
      </c>
      <c r="F81" s="49">
        <v>10000</v>
      </c>
      <c r="G81" s="49">
        <v>20000</v>
      </c>
    </row>
    <row r="82" spans="1:7" x14ac:dyDescent="0.25">
      <c r="A82" s="1">
        <v>28</v>
      </c>
      <c r="B82" s="1">
        <v>1</v>
      </c>
      <c r="C82" s="1" t="s">
        <v>28</v>
      </c>
      <c r="D82" s="1" t="s">
        <v>107</v>
      </c>
      <c r="E82" s="1">
        <v>2</v>
      </c>
      <c r="F82" s="49">
        <v>6000</v>
      </c>
      <c r="G82" s="49">
        <v>12000</v>
      </c>
    </row>
    <row r="83" spans="1:7" x14ac:dyDescent="0.25">
      <c r="A83" s="1">
        <v>29</v>
      </c>
      <c r="B83" s="1">
        <v>1</v>
      </c>
      <c r="C83" s="1" t="s">
        <v>110</v>
      </c>
      <c r="D83" s="1" t="s">
        <v>115</v>
      </c>
      <c r="E83" s="1">
        <v>3</v>
      </c>
      <c r="F83" s="49">
        <v>6000</v>
      </c>
      <c r="G83" s="49">
        <v>18000</v>
      </c>
    </row>
    <row r="84" spans="1:7" x14ac:dyDescent="0.25">
      <c r="A84" s="1">
        <v>30</v>
      </c>
      <c r="B84" s="1">
        <v>1</v>
      </c>
      <c r="C84" s="1" t="s">
        <v>22</v>
      </c>
      <c r="D84" s="1" t="s">
        <v>104</v>
      </c>
      <c r="E84" s="1">
        <v>1</v>
      </c>
      <c r="F84" s="49">
        <v>7000</v>
      </c>
      <c r="G84" s="49">
        <v>7000</v>
      </c>
    </row>
    <row r="85" spans="1:7" x14ac:dyDescent="0.25">
      <c r="A85" s="1">
        <v>30</v>
      </c>
      <c r="B85" s="1">
        <v>2</v>
      </c>
      <c r="C85" s="1" t="s">
        <v>301</v>
      </c>
      <c r="D85" s="1" t="s">
        <v>191</v>
      </c>
      <c r="E85" s="1">
        <v>1</v>
      </c>
      <c r="F85" s="49">
        <v>3000</v>
      </c>
      <c r="G85" s="49">
        <v>3000</v>
      </c>
    </row>
    <row r="86" spans="1:7" x14ac:dyDescent="0.25">
      <c r="A86" s="1">
        <v>30</v>
      </c>
      <c r="B86" s="1">
        <v>3</v>
      </c>
      <c r="C86" s="1" t="s">
        <v>10</v>
      </c>
      <c r="D86" s="1" t="s">
        <v>15</v>
      </c>
      <c r="E86" s="1">
        <v>1</v>
      </c>
      <c r="F86" s="49">
        <v>10000</v>
      </c>
      <c r="G86" s="49">
        <v>10000</v>
      </c>
    </row>
    <row r="87" spans="1:7" ht="30" x14ac:dyDescent="0.25">
      <c r="A87" s="1">
        <v>31</v>
      </c>
      <c r="B87" s="1">
        <v>1</v>
      </c>
      <c r="C87" s="1" t="s">
        <v>113</v>
      </c>
      <c r="D87" s="1" t="s">
        <v>171</v>
      </c>
      <c r="E87" s="1">
        <v>1</v>
      </c>
      <c r="F87" s="49">
        <v>6000</v>
      </c>
      <c r="G87" s="49">
        <v>6000</v>
      </c>
    </row>
    <row r="88" spans="1:7" x14ac:dyDescent="0.25">
      <c r="A88" s="1">
        <v>31</v>
      </c>
      <c r="B88" s="1">
        <v>2</v>
      </c>
      <c r="C88" s="1" t="s">
        <v>27</v>
      </c>
      <c r="D88" s="1" t="s">
        <v>106</v>
      </c>
      <c r="E88" s="1">
        <v>2</v>
      </c>
      <c r="F88" s="49">
        <v>7000</v>
      </c>
      <c r="G88" s="49">
        <v>14000</v>
      </c>
    </row>
    <row r="89" spans="1:7" x14ac:dyDescent="0.25">
      <c r="A89" s="1">
        <v>31</v>
      </c>
      <c r="B89" s="1">
        <v>3</v>
      </c>
      <c r="C89" s="1" t="s">
        <v>112</v>
      </c>
      <c r="D89" s="1" t="s">
        <v>114</v>
      </c>
      <c r="E89" s="1">
        <v>1</v>
      </c>
      <c r="F89" s="49">
        <v>6000</v>
      </c>
      <c r="G89" s="49">
        <v>6000</v>
      </c>
    </row>
    <row r="90" spans="1:7" x14ac:dyDescent="0.25">
      <c r="A90" s="1">
        <v>32</v>
      </c>
      <c r="B90" s="1">
        <v>1</v>
      </c>
      <c r="C90" s="1" t="s">
        <v>22</v>
      </c>
      <c r="D90" s="1" t="s">
        <v>104</v>
      </c>
      <c r="E90" s="1">
        <v>2</v>
      </c>
      <c r="F90" s="49">
        <v>7000</v>
      </c>
      <c r="G90" s="49">
        <v>14000</v>
      </c>
    </row>
    <row r="91" spans="1:7" x14ac:dyDescent="0.25">
      <c r="A91" s="1">
        <v>32</v>
      </c>
      <c r="B91" s="1">
        <v>2</v>
      </c>
      <c r="C91" s="1" t="s">
        <v>10</v>
      </c>
      <c r="D91" s="1" t="s">
        <v>15</v>
      </c>
      <c r="E91" s="1">
        <v>1</v>
      </c>
      <c r="F91" s="49">
        <v>10000</v>
      </c>
      <c r="G91" s="49">
        <v>10000</v>
      </c>
    </row>
    <row r="92" spans="1:7" x14ac:dyDescent="0.25">
      <c r="A92" s="1">
        <v>33</v>
      </c>
      <c r="B92" s="1">
        <v>1</v>
      </c>
      <c r="C92" s="1" t="s">
        <v>110</v>
      </c>
      <c r="D92" s="1" t="s">
        <v>115</v>
      </c>
      <c r="E92" s="1">
        <v>2</v>
      </c>
      <c r="F92" s="49">
        <v>6000</v>
      </c>
      <c r="G92" s="49">
        <v>12000</v>
      </c>
    </row>
    <row r="93" spans="1:7" x14ac:dyDescent="0.25">
      <c r="A93" s="1">
        <v>33</v>
      </c>
      <c r="B93" s="1">
        <v>2</v>
      </c>
      <c r="C93" s="1" t="s">
        <v>65</v>
      </c>
      <c r="D93" s="1" t="s">
        <v>16</v>
      </c>
      <c r="E93" s="1">
        <v>2</v>
      </c>
      <c r="F93" s="49">
        <v>10000</v>
      </c>
      <c r="G93" s="49">
        <v>20000</v>
      </c>
    </row>
    <row r="94" spans="1:7" x14ac:dyDescent="0.25">
      <c r="A94" s="1">
        <v>33</v>
      </c>
      <c r="B94" s="1">
        <v>3</v>
      </c>
      <c r="C94" s="1" t="s">
        <v>27</v>
      </c>
      <c r="D94" s="1" t="s">
        <v>106</v>
      </c>
      <c r="E94" s="1">
        <v>1</v>
      </c>
      <c r="F94" s="49">
        <v>7000</v>
      </c>
      <c r="G94" s="49">
        <v>7000</v>
      </c>
    </row>
    <row r="95" spans="1:7" x14ac:dyDescent="0.25">
      <c r="A95" s="1">
        <v>34</v>
      </c>
      <c r="B95" s="1">
        <v>1</v>
      </c>
      <c r="C95" s="1" t="s">
        <v>28</v>
      </c>
      <c r="D95" s="1" t="s">
        <v>107</v>
      </c>
      <c r="E95" s="1">
        <v>3</v>
      </c>
      <c r="F95" s="49">
        <v>6000</v>
      </c>
      <c r="G95" s="49">
        <v>18000</v>
      </c>
    </row>
    <row r="96" spans="1:7" x14ac:dyDescent="0.25">
      <c r="A96" s="1">
        <v>34</v>
      </c>
      <c r="B96" s="1">
        <v>2</v>
      </c>
      <c r="C96" s="1" t="s">
        <v>301</v>
      </c>
      <c r="D96" s="1" t="s">
        <v>191</v>
      </c>
      <c r="E96" s="1">
        <v>1</v>
      </c>
      <c r="F96" s="49">
        <v>3000</v>
      </c>
      <c r="G96" s="49">
        <v>3000</v>
      </c>
    </row>
    <row r="97" spans="1:7" x14ac:dyDescent="0.25">
      <c r="A97" s="1">
        <v>35</v>
      </c>
      <c r="B97" s="1">
        <v>1</v>
      </c>
      <c r="C97" s="1" t="s">
        <v>28</v>
      </c>
      <c r="D97" s="1" t="s">
        <v>107</v>
      </c>
      <c r="E97" s="1">
        <v>2</v>
      </c>
      <c r="F97" s="49">
        <v>6000</v>
      </c>
      <c r="G97" s="49">
        <v>12000</v>
      </c>
    </row>
    <row r="98" spans="1:7" x14ac:dyDescent="0.25">
      <c r="A98" s="1">
        <v>35</v>
      </c>
      <c r="B98" s="1">
        <v>2</v>
      </c>
      <c r="C98" s="1" t="s">
        <v>65</v>
      </c>
      <c r="D98" s="1" t="s">
        <v>16</v>
      </c>
      <c r="E98" s="1">
        <v>2</v>
      </c>
      <c r="F98" s="49">
        <v>10000</v>
      </c>
      <c r="G98" s="49">
        <v>20000</v>
      </c>
    </row>
    <row r="99" spans="1:7" x14ac:dyDescent="0.25">
      <c r="A99" s="1">
        <v>36</v>
      </c>
      <c r="B99" s="1">
        <v>1</v>
      </c>
      <c r="C99" s="1" t="s">
        <v>112</v>
      </c>
      <c r="D99" s="1" t="s">
        <v>114</v>
      </c>
      <c r="E99" s="1">
        <v>1</v>
      </c>
      <c r="F99" s="49">
        <v>6000</v>
      </c>
      <c r="G99" s="49">
        <v>6000</v>
      </c>
    </row>
    <row r="100" spans="1:7" x14ac:dyDescent="0.25">
      <c r="A100" s="1">
        <v>36</v>
      </c>
      <c r="B100" s="1">
        <v>2</v>
      </c>
      <c r="C100" s="1" t="s">
        <v>10</v>
      </c>
      <c r="D100" s="1" t="s">
        <v>15</v>
      </c>
      <c r="E100" s="1">
        <v>1</v>
      </c>
      <c r="F100" s="49">
        <v>10000</v>
      </c>
      <c r="G100" s="49">
        <v>10000</v>
      </c>
    </row>
    <row r="101" spans="1:7" x14ac:dyDescent="0.25">
      <c r="A101" s="1">
        <v>37</v>
      </c>
      <c r="B101" s="1">
        <v>1</v>
      </c>
      <c r="C101" s="1" t="s">
        <v>65</v>
      </c>
      <c r="D101" s="1" t="s">
        <v>16</v>
      </c>
      <c r="E101" s="1">
        <v>1</v>
      </c>
      <c r="F101" s="49">
        <v>10000</v>
      </c>
      <c r="G101" s="49">
        <v>10000</v>
      </c>
    </row>
    <row r="102" spans="1:7" x14ac:dyDescent="0.25">
      <c r="A102" s="1">
        <v>37</v>
      </c>
      <c r="B102" s="1">
        <v>2</v>
      </c>
      <c r="C102" s="1" t="s">
        <v>110</v>
      </c>
      <c r="D102" s="1" t="s">
        <v>115</v>
      </c>
      <c r="E102" s="1">
        <v>1</v>
      </c>
      <c r="F102" s="49">
        <v>6000</v>
      </c>
      <c r="G102" s="49">
        <v>6000</v>
      </c>
    </row>
    <row r="103" spans="1:7" x14ac:dyDescent="0.25">
      <c r="A103" s="1">
        <v>37</v>
      </c>
      <c r="B103" s="1">
        <v>3</v>
      </c>
      <c r="C103" s="1" t="s">
        <v>28</v>
      </c>
      <c r="D103" s="1" t="s">
        <v>107</v>
      </c>
      <c r="E103" s="1">
        <v>3</v>
      </c>
      <c r="F103" s="49">
        <v>6000</v>
      </c>
      <c r="G103" s="49">
        <v>18000</v>
      </c>
    </row>
    <row r="104" spans="1:7" x14ac:dyDescent="0.25">
      <c r="A104" s="1">
        <v>38</v>
      </c>
      <c r="B104" s="1">
        <v>1</v>
      </c>
      <c r="C104" s="1" t="s">
        <v>65</v>
      </c>
      <c r="D104" s="1" t="s">
        <v>16</v>
      </c>
      <c r="E104" s="1">
        <v>2</v>
      </c>
      <c r="F104" s="49">
        <v>10000</v>
      </c>
      <c r="G104" s="49">
        <v>20000</v>
      </c>
    </row>
    <row r="105" spans="1:7" x14ac:dyDescent="0.25">
      <c r="A105" s="1">
        <v>39</v>
      </c>
      <c r="B105" s="1">
        <v>1</v>
      </c>
      <c r="C105" s="1" t="s">
        <v>28</v>
      </c>
      <c r="D105" s="1" t="s">
        <v>107</v>
      </c>
      <c r="E105" s="1">
        <v>1</v>
      </c>
      <c r="F105" s="49">
        <v>6000</v>
      </c>
      <c r="G105" s="49">
        <v>6000</v>
      </c>
    </row>
    <row r="106" spans="1:7" x14ac:dyDescent="0.25">
      <c r="A106" s="1">
        <v>40</v>
      </c>
      <c r="B106" s="1">
        <v>1</v>
      </c>
      <c r="C106" s="1" t="s">
        <v>22</v>
      </c>
      <c r="D106" s="1" t="s">
        <v>104</v>
      </c>
      <c r="E106" s="1">
        <v>1</v>
      </c>
      <c r="F106" s="49">
        <v>7000</v>
      </c>
      <c r="G106" s="49">
        <v>7000</v>
      </c>
    </row>
    <row r="107" spans="1:7" x14ac:dyDescent="0.25">
      <c r="A107" s="1">
        <v>40</v>
      </c>
      <c r="B107" s="1">
        <v>2</v>
      </c>
      <c r="C107" s="1" t="s">
        <v>65</v>
      </c>
      <c r="D107" s="1" t="s">
        <v>16</v>
      </c>
      <c r="E107" s="1">
        <v>1</v>
      </c>
      <c r="F107" s="49">
        <v>10000</v>
      </c>
      <c r="G107" s="49">
        <v>10000</v>
      </c>
    </row>
    <row r="108" spans="1:7" x14ac:dyDescent="0.25">
      <c r="A108" s="1">
        <v>41</v>
      </c>
      <c r="B108" s="1">
        <v>1</v>
      </c>
      <c r="C108" s="1" t="s">
        <v>28</v>
      </c>
      <c r="D108" s="1" t="s">
        <v>107</v>
      </c>
      <c r="E108" s="1">
        <v>1</v>
      </c>
      <c r="F108" s="49">
        <v>6000</v>
      </c>
      <c r="G108" s="49">
        <v>6000</v>
      </c>
    </row>
    <row r="109" spans="1:7" ht="30" x14ac:dyDescent="0.25">
      <c r="A109" s="1">
        <v>41</v>
      </c>
      <c r="B109" s="1">
        <v>2</v>
      </c>
      <c r="C109" s="1" t="s">
        <v>113</v>
      </c>
      <c r="D109" s="1" t="s">
        <v>171</v>
      </c>
      <c r="E109" s="1">
        <v>2</v>
      </c>
      <c r="F109" s="49">
        <v>6000</v>
      </c>
      <c r="G109" s="49">
        <v>12000</v>
      </c>
    </row>
    <row r="110" spans="1:7" x14ac:dyDescent="0.25">
      <c r="A110" s="1">
        <v>41</v>
      </c>
      <c r="B110" s="1">
        <v>3</v>
      </c>
      <c r="C110" s="1" t="s">
        <v>28</v>
      </c>
      <c r="D110" s="1" t="s">
        <v>107</v>
      </c>
      <c r="E110" s="1">
        <v>1</v>
      </c>
      <c r="F110" s="49">
        <v>6000</v>
      </c>
      <c r="G110" s="49">
        <v>6000</v>
      </c>
    </row>
    <row r="111" spans="1:7" x14ac:dyDescent="0.25">
      <c r="A111" s="1">
        <v>42</v>
      </c>
      <c r="B111" s="1">
        <v>1</v>
      </c>
      <c r="C111" s="1" t="s">
        <v>28</v>
      </c>
      <c r="D111" s="1" t="s">
        <v>107</v>
      </c>
      <c r="E111" s="1">
        <v>2</v>
      </c>
      <c r="F111" s="49">
        <v>6000</v>
      </c>
      <c r="G111" s="49">
        <v>12000</v>
      </c>
    </row>
    <row r="112" spans="1:7" x14ac:dyDescent="0.25">
      <c r="A112" s="1">
        <v>42</v>
      </c>
      <c r="B112" s="1">
        <v>2</v>
      </c>
      <c r="C112" s="1" t="s">
        <v>22</v>
      </c>
      <c r="D112" s="1" t="s">
        <v>104</v>
      </c>
      <c r="E112" s="1">
        <v>1</v>
      </c>
      <c r="F112" s="49">
        <v>7000</v>
      </c>
      <c r="G112" s="49">
        <v>7000</v>
      </c>
    </row>
    <row r="113" spans="1:7" x14ac:dyDescent="0.25">
      <c r="A113" s="1">
        <v>42</v>
      </c>
      <c r="B113" s="1">
        <v>3</v>
      </c>
      <c r="C113" s="1" t="s">
        <v>158</v>
      </c>
      <c r="D113" s="1" t="s">
        <v>159</v>
      </c>
      <c r="E113" s="1">
        <v>1</v>
      </c>
      <c r="F113" s="49">
        <v>1400</v>
      </c>
      <c r="G113" s="49">
        <v>1400</v>
      </c>
    </row>
    <row r="114" spans="1:7" x14ac:dyDescent="0.25">
      <c r="A114" s="1">
        <v>43</v>
      </c>
      <c r="B114" s="1">
        <v>1</v>
      </c>
      <c r="C114" s="1" t="s">
        <v>33</v>
      </c>
      <c r="D114" s="1" t="s">
        <v>17</v>
      </c>
      <c r="E114" s="1">
        <v>1</v>
      </c>
      <c r="F114" s="49">
        <v>6000</v>
      </c>
      <c r="G114" s="49">
        <v>6000</v>
      </c>
    </row>
    <row r="115" spans="1:7" x14ac:dyDescent="0.25">
      <c r="A115" s="1">
        <v>43</v>
      </c>
      <c r="B115" s="1">
        <v>2</v>
      </c>
      <c r="C115" s="1" t="s">
        <v>22</v>
      </c>
      <c r="D115" s="1" t="s">
        <v>104</v>
      </c>
      <c r="E115" s="1">
        <v>1</v>
      </c>
      <c r="F115" s="49">
        <v>7000</v>
      </c>
      <c r="G115" s="49">
        <v>7000</v>
      </c>
    </row>
    <row r="116" spans="1:7" x14ac:dyDescent="0.25">
      <c r="A116" s="1">
        <v>44</v>
      </c>
      <c r="B116" s="1">
        <v>1</v>
      </c>
      <c r="C116" s="1" t="s">
        <v>28</v>
      </c>
      <c r="D116" s="1" t="s">
        <v>107</v>
      </c>
      <c r="E116" s="1">
        <v>1</v>
      </c>
      <c r="F116" s="49">
        <v>6000</v>
      </c>
      <c r="G116" s="49">
        <v>6000</v>
      </c>
    </row>
    <row r="117" spans="1:7" x14ac:dyDescent="0.25">
      <c r="A117" s="1">
        <v>44</v>
      </c>
      <c r="B117" s="1">
        <v>2</v>
      </c>
      <c r="C117" s="1" t="s">
        <v>22</v>
      </c>
      <c r="D117" s="1" t="s">
        <v>104</v>
      </c>
      <c r="E117" s="1">
        <v>1</v>
      </c>
      <c r="F117" s="49">
        <v>7000</v>
      </c>
      <c r="G117" s="49">
        <v>7000</v>
      </c>
    </row>
    <row r="118" spans="1:7" x14ac:dyDescent="0.25">
      <c r="A118" s="1">
        <v>44</v>
      </c>
      <c r="B118" s="1">
        <v>3</v>
      </c>
      <c r="C118" s="1" t="s">
        <v>10</v>
      </c>
      <c r="D118" s="1" t="s">
        <v>15</v>
      </c>
      <c r="E118" s="1">
        <v>2</v>
      </c>
      <c r="F118" s="49">
        <v>10000</v>
      </c>
      <c r="G118" s="49">
        <v>20000</v>
      </c>
    </row>
    <row r="119" spans="1:7" ht="30" x14ac:dyDescent="0.25">
      <c r="A119" s="1">
        <v>44</v>
      </c>
      <c r="B119" s="1">
        <v>4</v>
      </c>
      <c r="C119" s="1" t="s">
        <v>113</v>
      </c>
      <c r="D119" s="1" t="s">
        <v>171</v>
      </c>
      <c r="E119" s="1">
        <v>1</v>
      </c>
      <c r="F119" s="49">
        <v>6000</v>
      </c>
      <c r="G119" s="49">
        <v>6000</v>
      </c>
    </row>
    <row r="120" spans="1:7" x14ac:dyDescent="0.25">
      <c r="A120" s="1">
        <v>44</v>
      </c>
      <c r="B120" s="1">
        <v>5</v>
      </c>
      <c r="C120" s="1" t="s">
        <v>21</v>
      </c>
      <c r="D120" s="1" t="s">
        <v>5</v>
      </c>
      <c r="E120" s="1">
        <v>1</v>
      </c>
      <c r="F120" s="49">
        <v>3000</v>
      </c>
      <c r="G120" s="49">
        <v>3000</v>
      </c>
    </row>
    <row r="121" spans="1:7" x14ac:dyDescent="0.25">
      <c r="A121" s="1">
        <v>45</v>
      </c>
      <c r="B121" s="1">
        <v>1</v>
      </c>
      <c r="C121" s="1" t="s">
        <v>182</v>
      </c>
      <c r="D121" s="1" t="s">
        <v>183</v>
      </c>
      <c r="E121" s="1">
        <v>2</v>
      </c>
      <c r="F121" s="49">
        <v>9000</v>
      </c>
      <c r="G121" s="49">
        <v>18000</v>
      </c>
    </row>
    <row r="122" spans="1:7" x14ac:dyDescent="0.25">
      <c r="A122" s="1">
        <v>45</v>
      </c>
      <c r="B122" s="1">
        <v>2</v>
      </c>
      <c r="C122" s="1" t="s">
        <v>21</v>
      </c>
      <c r="D122" s="1" t="s">
        <v>5</v>
      </c>
      <c r="E122" s="1">
        <v>1</v>
      </c>
      <c r="F122" s="49">
        <v>3000</v>
      </c>
      <c r="G122" s="49">
        <v>3000</v>
      </c>
    </row>
    <row r="123" spans="1:7" ht="30" x14ac:dyDescent="0.25">
      <c r="A123" s="1">
        <v>46</v>
      </c>
      <c r="B123" s="1">
        <v>1</v>
      </c>
      <c r="C123" s="1" t="s">
        <v>113</v>
      </c>
      <c r="D123" s="1" t="s">
        <v>171</v>
      </c>
      <c r="E123" s="1">
        <v>1</v>
      </c>
      <c r="F123" s="49">
        <v>6000</v>
      </c>
      <c r="G123" s="49">
        <v>6000</v>
      </c>
    </row>
    <row r="124" spans="1:7" x14ac:dyDescent="0.25">
      <c r="A124" s="1">
        <v>46</v>
      </c>
      <c r="B124" s="1">
        <v>2</v>
      </c>
      <c r="C124" s="1" t="s">
        <v>22</v>
      </c>
      <c r="D124" s="1" t="s">
        <v>104</v>
      </c>
      <c r="E124" s="1">
        <v>1</v>
      </c>
      <c r="F124" s="49">
        <v>7000</v>
      </c>
      <c r="G124" s="49">
        <v>7000</v>
      </c>
    </row>
    <row r="125" spans="1:7" x14ac:dyDescent="0.25">
      <c r="A125" s="1">
        <v>47</v>
      </c>
      <c r="B125" s="1">
        <v>1</v>
      </c>
      <c r="C125" s="1" t="s">
        <v>28</v>
      </c>
      <c r="D125" s="1" t="s">
        <v>107</v>
      </c>
      <c r="E125" s="1">
        <v>1</v>
      </c>
      <c r="F125" s="49">
        <v>6000</v>
      </c>
      <c r="G125" s="49">
        <v>6000</v>
      </c>
    </row>
    <row r="126" spans="1:7" x14ac:dyDescent="0.25">
      <c r="A126" s="1">
        <v>48</v>
      </c>
      <c r="B126" s="1">
        <v>1</v>
      </c>
      <c r="C126" s="1" t="s">
        <v>182</v>
      </c>
      <c r="D126" s="1" t="s">
        <v>183</v>
      </c>
      <c r="E126" s="1">
        <v>4</v>
      </c>
      <c r="F126" s="49">
        <v>9000</v>
      </c>
      <c r="G126" s="49">
        <v>36000</v>
      </c>
    </row>
    <row r="127" spans="1:7" ht="30" x14ac:dyDescent="0.25">
      <c r="A127" s="1">
        <v>49</v>
      </c>
      <c r="B127" s="1">
        <v>1</v>
      </c>
      <c r="C127" s="1" t="s">
        <v>113</v>
      </c>
      <c r="D127" s="1" t="s">
        <v>171</v>
      </c>
      <c r="E127" s="1">
        <v>1</v>
      </c>
      <c r="F127" s="49">
        <v>6000</v>
      </c>
      <c r="G127" s="49">
        <v>6000</v>
      </c>
    </row>
    <row r="128" spans="1:7" x14ac:dyDescent="0.25">
      <c r="A128" s="1">
        <v>50</v>
      </c>
      <c r="B128" s="1">
        <v>1</v>
      </c>
      <c r="C128" s="1" t="s">
        <v>112</v>
      </c>
      <c r="D128" s="1" t="s">
        <v>114</v>
      </c>
      <c r="E128" s="1">
        <v>1</v>
      </c>
      <c r="F128" s="49">
        <v>6000</v>
      </c>
      <c r="G128" s="49">
        <v>6000</v>
      </c>
    </row>
    <row r="129" spans="1:7" x14ac:dyDescent="0.25">
      <c r="A129" s="1">
        <v>50</v>
      </c>
      <c r="B129" s="1">
        <v>2</v>
      </c>
      <c r="C129" s="1" t="s">
        <v>182</v>
      </c>
      <c r="D129" s="1" t="s">
        <v>183</v>
      </c>
      <c r="E129" s="1">
        <v>1</v>
      </c>
      <c r="F129" s="49">
        <v>9000</v>
      </c>
      <c r="G129" s="49">
        <v>9000</v>
      </c>
    </row>
    <row r="130" spans="1:7" x14ac:dyDescent="0.25">
      <c r="A130" s="1">
        <v>51</v>
      </c>
      <c r="B130" s="1">
        <v>1</v>
      </c>
      <c r="C130" s="1" t="s">
        <v>10</v>
      </c>
      <c r="D130" s="1" t="s">
        <v>15</v>
      </c>
      <c r="E130" s="1">
        <v>3</v>
      </c>
      <c r="F130" s="49">
        <v>10000</v>
      </c>
      <c r="G130" s="49">
        <v>30000</v>
      </c>
    </row>
    <row r="131" spans="1:7" x14ac:dyDescent="0.25">
      <c r="A131" s="1">
        <v>51</v>
      </c>
      <c r="B131" s="1">
        <v>2</v>
      </c>
      <c r="C131" s="1" t="s">
        <v>28</v>
      </c>
      <c r="D131" s="1" t="s">
        <v>107</v>
      </c>
      <c r="E131" s="1">
        <v>3</v>
      </c>
      <c r="F131" s="49">
        <v>6000</v>
      </c>
      <c r="G131" s="49">
        <v>18000</v>
      </c>
    </row>
    <row r="132" spans="1:7" x14ac:dyDescent="0.25">
      <c r="A132" s="1">
        <v>51</v>
      </c>
      <c r="B132" s="1">
        <v>3</v>
      </c>
      <c r="C132" s="1" t="s">
        <v>25</v>
      </c>
      <c r="D132" s="1" t="s">
        <v>12</v>
      </c>
      <c r="E132" s="1">
        <v>1</v>
      </c>
      <c r="F132" s="49">
        <v>12000</v>
      </c>
      <c r="G132" s="49">
        <v>12000</v>
      </c>
    </row>
    <row r="133" spans="1:7" x14ac:dyDescent="0.25">
      <c r="A133" s="1">
        <v>52</v>
      </c>
      <c r="B133" s="1">
        <v>1</v>
      </c>
      <c r="C133" s="1" t="s">
        <v>10</v>
      </c>
      <c r="D133" s="1" t="s">
        <v>15</v>
      </c>
      <c r="E133" s="1">
        <v>2</v>
      </c>
      <c r="F133" s="49">
        <v>10000</v>
      </c>
      <c r="G133" s="49">
        <v>20000</v>
      </c>
    </row>
    <row r="134" spans="1:7" x14ac:dyDescent="0.25">
      <c r="A134" s="1">
        <v>52</v>
      </c>
      <c r="B134" s="1">
        <v>2</v>
      </c>
      <c r="C134" s="1" t="s">
        <v>28</v>
      </c>
      <c r="D134" s="1" t="s">
        <v>107</v>
      </c>
      <c r="E134" s="1">
        <v>2</v>
      </c>
      <c r="F134" s="49">
        <v>6000</v>
      </c>
      <c r="G134" s="49">
        <v>12000</v>
      </c>
    </row>
    <row r="135" spans="1:7" x14ac:dyDescent="0.25">
      <c r="A135" s="1">
        <v>53</v>
      </c>
      <c r="B135" s="1">
        <v>1</v>
      </c>
      <c r="C135" s="1" t="s">
        <v>28</v>
      </c>
      <c r="D135" s="1" t="s">
        <v>107</v>
      </c>
      <c r="E135" s="1">
        <v>1</v>
      </c>
      <c r="F135" s="49">
        <v>6000</v>
      </c>
      <c r="G135" s="49">
        <v>6000</v>
      </c>
    </row>
    <row r="136" spans="1:7" x14ac:dyDescent="0.25">
      <c r="A136" s="1">
        <v>53</v>
      </c>
      <c r="B136" s="1">
        <v>2</v>
      </c>
      <c r="C136" s="1" t="s">
        <v>21</v>
      </c>
      <c r="D136" s="1" t="s">
        <v>5</v>
      </c>
      <c r="E136" s="1">
        <v>1</v>
      </c>
      <c r="F136" s="49">
        <v>3000</v>
      </c>
      <c r="G136" s="49">
        <v>3000</v>
      </c>
    </row>
    <row r="137" spans="1:7" x14ac:dyDescent="0.25">
      <c r="A137" s="1">
        <v>53</v>
      </c>
      <c r="B137" s="1">
        <v>3</v>
      </c>
      <c r="C137" s="1" t="s">
        <v>110</v>
      </c>
      <c r="D137" s="1" t="s">
        <v>115</v>
      </c>
      <c r="E137" s="1">
        <v>1</v>
      </c>
      <c r="F137" s="49">
        <v>6000</v>
      </c>
      <c r="G137" s="49">
        <v>6000</v>
      </c>
    </row>
    <row r="138" spans="1:7" x14ac:dyDescent="0.25">
      <c r="A138" s="1">
        <v>53</v>
      </c>
      <c r="B138" s="1">
        <v>3</v>
      </c>
      <c r="C138" s="1" t="s">
        <v>65</v>
      </c>
      <c r="D138" s="1" t="s">
        <v>16</v>
      </c>
      <c r="E138" s="1">
        <v>1</v>
      </c>
      <c r="F138" s="49">
        <v>10000</v>
      </c>
      <c r="G138" s="49">
        <v>10000</v>
      </c>
    </row>
    <row r="139" spans="1:7" x14ac:dyDescent="0.25">
      <c r="A139" s="1">
        <v>54</v>
      </c>
      <c r="B139" s="1">
        <v>1</v>
      </c>
      <c r="C139" s="1" t="s">
        <v>110</v>
      </c>
      <c r="D139" s="1" t="s">
        <v>115</v>
      </c>
      <c r="E139" s="1">
        <v>1</v>
      </c>
      <c r="F139" s="49">
        <v>6000</v>
      </c>
      <c r="G139" s="49">
        <v>6000</v>
      </c>
    </row>
    <row r="140" spans="1:7" x14ac:dyDescent="0.25">
      <c r="A140" s="1">
        <v>54</v>
      </c>
      <c r="B140" s="1">
        <v>2</v>
      </c>
      <c r="C140" s="1" t="s">
        <v>28</v>
      </c>
      <c r="D140" s="1" t="s">
        <v>107</v>
      </c>
      <c r="E140" s="1">
        <v>2</v>
      </c>
      <c r="F140" s="49">
        <v>6000</v>
      </c>
      <c r="G140" s="49">
        <v>12000</v>
      </c>
    </row>
    <row r="141" spans="1:7" x14ac:dyDescent="0.25">
      <c r="A141" s="1">
        <v>54</v>
      </c>
      <c r="B141" s="1">
        <v>3</v>
      </c>
      <c r="C141" s="1" t="s">
        <v>65</v>
      </c>
      <c r="D141" s="1" t="s">
        <v>16</v>
      </c>
      <c r="E141" s="1">
        <v>1</v>
      </c>
      <c r="F141" s="49">
        <v>10000</v>
      </c>
      <c r="G141" s="49">
        <v>10000</v>
      </c>
    </row>
    <row r="142" spans="1:7" x14ac:dyDescent="0.25">
      <c r="A142" s="1">
        <v>54</v>
      </c>
      <c r="B142" s="1">
        <v>4</v>
      </c>
      <c r="C142" s="1" t="s">
        <v>10</v>
      </c>
      <c r="D142" s="1" t="s">
        <v>15</v>
      </c>
      <c r="E142" s="1">
        <v>1</v>
      </c>
      <c r="F142" s="49">
        <v>10000</v>
      </c>
      <c r="G142" s="49">
        <v>10000</v>
      </c>
    </row>
    <row r="143" spans="1:7" x14ac:dyDescent="0.25">
      <c r="A143" s="1">
        <v>55</v>
      </c>
      <c r="B143" s="1">
        <v>1</v>
      </c>
      <c r="C143" s="1" t="s">
        <v>32</v>
      </c>
      <c r="D143" s="1" t="s">
        <v>9</v>
      </c>
      <c r="E143" s="1">
        <v>1</v>
      </c>
      <c r="F143" s="49">
        <v>9000</v>
      </c>
      <c r="G143" s="49">
        <v>9000</v>
      </c>
    </row>
    <row r="144" spans="1:7" x14ac:dyDescent="0.25">
      <c r="A144" s="1">
        <v>56</v>
      </c>
      <c r="B144" s="1">
        <v>1</v>
      </c>
      <c r="C144" s="1" t="s">
        <v>28</v>
      </c>
      <c r="D144" s="1" t="s">
        <v>107</v>
      </c>
      <c r="E144" s="1">
        <v>4</v>
      </c>
      <c r="F144" s="49">
        <v>6000</v>
      </c>
      <c r="G144" s="49">
        <v>24000</v>
      </c>
    </row>
    <row r="145" spans="1:7" x14ac:dyDescent="0.25">
      <c r="A145" s="1">
        <v>56</v>
      </c>
      <c r="B145" s="1">
        <v>2</v>
      </c>
      <c r="C145" s="1" t="s">
        <v>65</v>
      </c>
      <c r="D145" s="1" t="s">
        <v>16</v>
      </c>
      <c r="E145" s="1">
        <v>1</v>
      </c>
      <c r="F145" s="49">
        <v>10000</v>
      </c>
      <c r="G145" s="49">
        <v>10000</v>
      </c>
    </row>
    <row r="146" spans="1:7" x14ac:dyDescent="0.25">
      <c r="A146" s="1">
        <v>57</v>
      </c>
      <c r="B146" s="1">
        <v>1</v>
      </c>
      <c r="C146" s="1" t="s">
        <v>186</v>
      </c>
      <c r="D146" s="1" t="s">
        <v>187</v>
      </c>
      <c r="E146" s="1">
        <v>1</v>
      </c>
      <c r="F146" s="49">
        <v>3000</v>
      </c>
      <c r="G146" s="49">
        <v>3000</v>
      </c>
    </row>
    <row r="147" spans="1:7" x14ac:dyDescent="0.25">
      <c r="A147" s="1">
        <v>57</v>
      </c>
      <c r="B147" s="1">
        <v>2</v>
      </c>
      <c r="C147" s="1" t="s">
        <v>186</v>
      </c>
      <c r="D147" s="1" t="s">
        <v>187</v>
      </c>
      <c r="E147" s="1">
        <v>1</v>
      </c>
      <c r="F147" s="49">
        <v>3000</v>
      </c>
      <c r="G147" s="49">
        <v>3000</v>
      </c>
    </row>
    <row r="148" spans="1:7" x14ac:dyDescent="0.25">
      <c r="A148" s="1">
        <v>57</v>
      </c>
      <c r="B148" s="1">
        <v>3</v>
      </c>
      <c r="C148" s="1" t="s">
        <v>110</v>
      </c>
      <c r="D148" s="1" t="s">
        <v>115</v>
      </c>
      <c r="E148" s="1">
        <v>1</v>
      </c>
      <c r="F148" s="49">
        <v>6000</v>
      </c>
      <c r="G148" s="49">
        <v>6000</v>
      </c>
    </row>
    <row r="149" spans="1:7" x14ac:dyDescent="0.25">
      <c r="A149" s="1">
        <v>57</v>
      </c>
      <c r="B149" s="1">
        <v>4</v>
      </c>
      <c r="C149" s="1" t="s">
        <v>28</v>
      </c>
      <c r="D149" s="1" t="s">
        <v>107</v>
      </c>
      <c r="E149" s="1">
        <v>1</v>
      </c>
      <c r="F149" s="49">
        <v>6000</v>
      </c>
      <c r="G149" s="49">
        <v>6000</v>
      </c>
    </row>
    <row r="150" spans="1:7" x14ac:dyDescent="0.25">
      <c r="A150" s="1">
        <v>58</v>
      </c>
      <c r="B150" s="1">
        <v>1</v>
      </c>
      <c r="C150" s="1" t="s">
        <v>65</v>
      </c>
      <c r="D150" s="1" t="s">
        <v>16</v>
      </c>
      <c r="E150" s="1">
        <v>1</v>
      </c>
      <c r="F150" s="49">
        <v>10000</v>
      </c>
      <c r="G150" s="49">
        <v>10000</v>
      </c>
    </row>
    <row r="151" spans="1:7" x14ac:dyDescent="0.25">
      <c r="A151" s="1">
        <v>58</v>
      </c>
      <c r="B151" s="1">
        <v>2</v>
      </c>
      <c r="C151" s="1" t="s">
        <v>28</v>
      </c>
      <c r="D151" s="1" t="s">
        <v>107</v>
      </c>
      <c r="E151" s="1">
        <v>1</v>
      </c>
      <c r="F151" s="49">
        <v>6000</v>
      </c>
      <c r="G151" s="49">
        <v>6000</v>
      </c>
    </row>
    <row r="152" spans="1:7" x14ac:dyDescent="0.25">
      <c r="A152" s="1">
        <v>59</v>
      </c>
      <c r="B152" s="1">
        <v>1</v>
      </c>
      <c r="C152" s="1" t="s">
        <v>28</v>
      </c>
      <c r="D152" s="1" t="s">
        <v>107</v>
      </c>
      <c r="E152" s="1">
        <v>10</v>
      </c>
      <c r="F152" s="49">
        <v>6000</v>
      </c>
      <c r="G152" s="49">
        <v>60000</v>
      </c>
    </row>
    <row r="153" spans="1:7" x14ac:dyDescent="0.25">
      <c r="A153" s="1">
        <v>60</v>
      </c>
      <c r="B153" s="1">
        <v>1</v>
      </c>
      <c r="C153" s="1" t="s">
        <v>110</v>
      </c>
      <c r="D153" s="1" t="s">
        <v>115</v>
      </c>
      <c r="E153" s="1">
        <v>4</v>
      </c>
      <c r="F153" s="49">
        <v>6000</v>
      </c>
      <c r="G153" s="49">
        <v>24000</v>
      </c>
    </row>
    <row r="154" spans="1:7" x14ac:dyDescent="0.25">
      <c r="A154" s="1">
        <v>61</v>
      </c>
      <c r="B154" s="1">
        <v>1</v>
      </c>
      <c r="C154" s="1" t="s">
        <v>158</v>
      </c>
      <c r="D154" s="1" t="s">
        <v>161</v>
      </c>
      <c r="E154" s="1">
        <v>5</v>
      </c>
      <c r="F154" s="49">
        <v>1200</v>
      </c>
      <c r="G154" s="49">
        <v>6000</v>
      </c>
    </row>
    <row r="155" spans="1:7" x14ac:dyDescent="0.25">
      <c r="A155" s="1">
        <v>61</v>
      </c>
      <c r="B155" s="1">
        <v>2</v>
      </c>
      <c r="C155" s="1" t="s">
        <v>28</v>
      </c>
      <c r="D155" s="1" t="s">
        <v>107</v>
      </c>
      <c r="E155" s="1">
        <v>3</v>
      </c>
      <c r="F155" s="49">
        <v>6000</v>
      </c>
      <c r="G155" s="49">
        <v>18000</v>
      </c>
    </row>
    <row r="156" spans="1:7" x14ac:dyDescent="0.25">
      <c r="A156" s="1">
        <v>62</v>
      </c>
      <c r="B156" s="1">
        <v>1</v>
      </c>
      <c r="C156" s="1" t="s">
        <v>28</v>
      </c>
      <c r="D156" s="1" t="s">
        <v>107</v>
      </c>
      <c r="E156" s="1">
        <v>2</v>
      </c>
      <c r="F156" s="49">
        <v>6000</v>
      </c>
      <c r="G156" s="49">
        <v>12000</v>
      </c>
    </row>
    <row r="157" spans="1:7" x14ac:dyDescent="0.25">
      <c r="A157" s="1">
        <v>62</v>
      </c>
      <c r="B157" s="1">
        <v>2</v>
      </c>
      <c r="C157" s="1" t="s">
        <v>158</v>
      </c>
      <c r="D157" s="1" t="s">
        <v>161</v>
      </c>
      <c r="E157" s="1">
        <v>2</v>
      </c>
      <c r="F157" s="49">
        <v>1200</v>
      </c>
      <c r="G157" s="49">
        <v>2400</v>
      </c>
    </row>
    <row r="158" spans="1:7" x14ac:dyDescent="0.25">
      <c r="A158" s="1">
        <v>63</v>
      </c>
      <c r="B158" s="1">
        <v>1</v>
      </c>
      <c r="C158" s="1" t="s">
        <v>110</v>
      </c>
      <c r="D158" s="1" t="s">
        <v>115</v>
      </c>
      <c r="E158" s="1">
        <v>1</v>
      </c>
      <c r="F158" s="49">
        <v>6000</v>
      </c>
      <c r="G158" s="49">
        <v>6000</v>
      </c>
    </row>
    <row r="159" spans="1:7" x14ac:dyDescent="0.25">
      <c r="A159" s="1">
        <v>64</v>
      </c>
      <c r="B159" s="1">
        <v>1</v>
      </c>
      <c r="C159" s="1" t="s">
        <v>110</v>
      </c>
      <c r="D159" s="1" t="s">
        <v>115</v>
      </c>
      <c r="E159" s="1">
        <v>1</v>
      </c>
      <c r="F159" s="49">
        <v>6000</v>
      </c>
      <c r="G159" s="49">
        <v>6000</v>
      </c>
    </row>
    <row r="160" spans="1:7" x14ac:dyDescent="0.25">
      <c r="A160" s="1">
        <v>65</v>
      </c>
      <c r="B160" s="1">
        <v>1</v>
      </c>
      <c r="C160" s="1" t="s">
        <v>110</v>
      </c>
      <c r="D160" s="1" t="s">
        <v>115</v>
      </c>
      <c r="E160" s="1">
        <v>1</v>
      </c>
      <c r="F160" s="49">
        <v>6000</v>
      </c>
      <c r="G160" s="49">
        <v>6000</v>
      </c>
    </row>
    <row r="161" spans="1:7" x14ac:dyDescent="0.25">
      <c r="A161" s="1">
        <v>66</v>
      </c>
      <c r="B161" s="1">
        <v>1</v>
      </c>
      <c r="C161" s="1" t="s">
        <v>28</v>
      </c>
      <c r="D161" s="1" t="s">
        <v>107</v>
      </c>
      <c r="E161" s="1">
        <v>1</v>
      </c>
      <c r="F161" s="49">
        <v>6000</v>
      </c>
      <c r="G161" s="49">
        <v>6000</v>
      </c>
    </row>
    <row r="162" spans="1:7" x14ac:dyDescent="0.25">
      <c r="A162" s="1">
        <v>66</v>
      </c>
      <c r="B162" s="1">
        <v>2</v>
      </c>
      <c r="C162" s="1" t="s">
        <v>158</v>
      </c>
      <c r="D162" s="1" t="s">
        <v>159</v>
      </c>
      <c r="E162" s="1">
        <v>12</v>
      </c>
      <c r="F162" s="49">
        <v>1400</v>
      </c>
      <c r="G162" s="49">
        <v>16000</v>
      </c>
    </row>
    <row r="163" spans="1:7" x14ac:dyDescent="0.25">
      <c r="A163" s="1">
        <v>67</v>
      </c>
      <c r="B163" s="1">
        <v>1</v>
      </c>
      <c r="C163" s="1" t="s">
        <v>28</v>
      </c>
      <c r="D163" s="1" t="s">
        <v>107</v>
      </c>
      <c r="E163" s="1">
        <v>10</v>
      </c>
      <c r="F163" s="49">
        <v>6000</v>
      </c>
      <c r="G163" s="49">
        <v>60000</v>
      </c>
    </row>
    <row r="164" spans="1:7" x14ac:dyDescent="0.25">
      <c r="A164" s="1">
        <v>68</v>
      </c>
      <c r="B164" s="1">
        <v>1</v>
      </c>
      <c r="C164" s="1" t="s">
        <v>28</v>
      </c>
      <c r="D164" s="1" t="s">
        <v>107</v>
      </c>
      <c r="E164" s="1">
        <v>4</v>
      </c>
      <c r="F164" s="49">
        <v>6000</v>
      </c>
      <c r="G164" s="49">
        <v>24000</v>
      </c>
    </row>
    <row r="165" spans="1:7" x14ac:dyDescent="0.25">
      <c r="A165" s="1">
        <v>69</v>
      </c>
      <c r="B165" s="1">
        <v>1</v>
      </c>
      <c r="C165" s="1" t="s">
        <v>28</v>
      </c>
      <c r="D165" s="1" t="s">
        <v>107</v>
      </c>
      <c r="E165" s="1">
        <v>4</v>
      </c>
      <c r="F165" s="49">
        <v>6000</v>
      </c>
      <c r="G165" s="49">
        <v>24000</v>
      </c>
    </row>
    <row r="166" spans="1:7" x14ac:dyDescent="0.25">
      <c r="A166" s="1">
        <v>70</v>
      </c>
      <c r="B166" s="1">
        <v>1</v>
      </c>
      <c r="C166" s="1" t="s">
        <v>22</v>
      </c>
      <c r="D166" s="1" t="s">
        <v>104</v>
      </c>
      <c r="E166" s="1">
        <v>2</v>
      </c>
      <c r="F166" s="49">
        <v>7000</v>
      </c>
      <c r="G166" s="49">
        <v>14000</v>
      </c>
    </row>
    <row r="167" spans="1:7" x14ac:dyDescent="0.25">
      <c r="A167" s="1">
        <v>71</v>
      </c>
      <c r="B167" s="1">
        <v>1</v>
      </c>
      <c r="C167" s="1" t="s">
        <v>28</v>
      </c>
      <c r="D167" s="1" t="s">
        <v>107</v>
      </c>
      <c r="E167" s="1">
        <v>1</v>
      </c>
      <c r="F167" s="49">
        <v>6000</v>
      </c>
      <c r="G167" s="49">
        <v>6000</v>
      </c>
    </row>
    <row r="168" spans="1:7" x14ac:dyDescent="0.25">
      <c r="A168" s="1">
        <v>71</v>
      </c>
      <c r="B168" s="1">
        <v>2</v>
      </c>
      <c r="C168" s="1" t="s">
        <v>110</v>
      </c>
      <c r="D168" s="1" t="s">
        <v>115</v>
      </c>
      <c r="E168" s="1">
        <v>1</v>
      </c>
      <c r="F168" s="49">
        <v>6000</v>
      </c>
      <c r="G168" s="49">
        <v>6000</v>
      </c>
    </row>
    <row r="169" spans="1:7" x14ac:dyDescent="0.25">
      <c r="A169" s="1">
        <v>72</v>
      </c>
      <c r="B169" s="1">
        <v>1</v>
      </c>
      <c r="C169" s="1" t="s">
        <v>110</v>
      </c>
      <c r="D169" s="1" t="s">
        <v>115</v>
      </c>
      <c r="E169" s="1">
        <v>1</v>
      </c>
      <c r="F169" s="49">
        <v>6000</v>
      </c>
      <c r="G169" s="49">
        <v>6000</v>
      </c>
    </row>
    <row r="170" spans="1:7" x14ac:dyDescent="0.25">
      <c r="A170" s="1">
        <v>72</v>
      </c>
      <c r="B170" s="1">
        <v>2</v>
      </c>
      <c r="C170" s="1" t="s">
        <v>28</v>
      </c>
      <c r="D170" s="1" t="s">
        <v>107</v>
      </c>
      <c r="E170" s="1">
        <v>1</v>
      </c>
      <c r="F170" s="49">
        <v>6000</v>
      </c>
      <c r="G170" s="49">
        <v>6000</v>
      </c>
    </row>
    <row r="171" spans="1:7" x14ac:dyDescent="0.25">
      <c r="A171" s="1">
        <v>72</v>
      </c>
      <c r="B171" s="1">
        <v>3</v>
      </c>
      <c r="C171" s="1" t="s">
        <v>65</v>
      </c>
      <c r="D171" s="1" t="s">
        <v>16</v>
      </c>
      <c r="E171" s="1">
        <v>1</v>
      </c>
      <c r="F171" s="49">
        <v>10000</v>
      </c>
      <c r="G171" s="49">
        <v>10000</v>
      </c>
    </row>
    <row r="172" spans="1:7" x14ac:dyDescent="0.25">
      <c r="A172" s="1">
        <v>73</v>
      </c>
      <c r="B172" s="1">
        <v>1</v>
      </c>
      <c r="C172" s="1" t="s">
        <v>28</v>
      </c>
      <c r="D172" s="1" t="s">
        <v>107</v>
      </c>
      <c r="E172" s="1">
        <v>1</v>
      </c>
      <c r="F172" s="49">
        <v>6000</v>
      </c>
      <c r="G172" s="49">
        <v>6000</v>
      </c>
    </row>
    <row r="173" spans="1:7" x14ac:dyDescent="0.25">
      <c r="A173" s="1">
        <v>73</v>
      </c>
      <c r="B173" s="1">
        <v>2</v>
      </c>
      <c r="C173" s="1" t="s">
        <v>10</v>
      </c>
      <c r="D173" s="1" t="s">
        <v>15</v>
      </c>
      <c r="E173" s="1">
        <v>1</v>
      </c>
      <c r="F173" s="49">
        <v>10000</v>
      </c>
      <c r="G173" s="49">
        <v>10000</v>
      </c>
    </row>
    <row r="174" spans="1:7" x14ac:dyDescent="0.25">
      <c r="A174" s="1">
        <v>73</v>
      </c>
      <c r="B174" s="1">
        <v>3</v>
      </c>
      <c r="C174" s="1" t="s">
        <v>182</v>
      </c>
      <c r="D174" s="1" t="s">
        <v>183</v>
      </c>
      <c r="E174" s="1">
        <v>4</v>
      </c>
      <c r="F174" s="49">
        <v>9000</v>
      </c>
      <c r="G174" s="49">
        <v>36000</v>
      </c>
    </row>
    <row r="175" spans="1:7" x14ac:dyDescent="0.25">
      <c r="A175" s="1">
        <v>73</v>
      </c>
      <c r="B175" s="1">
        <v>4</v>
      </c>
      <c r="C175" s="1" t="s">
        <v>65</v>
      </c>
      <c r="D175" s="1" t="s">
        <v>16</v>
      </c>
      <c r="E175" s="1">
        <v>1</v>
      </c>
      <c r="F175" s="49">
        <v>10000</v>
      </c>
      <c r="G175" s="49">
        <v>10000</v>
      </c>
    </row>
    <row r="176" spans="1:7" x14ac:dyDescent="0.25">
      <c r="A176" s="1">
        <v>74</v>
      </c>
      <c r="B176" s="1">
        <v>1</v>
      </c>
      <c r="C176" s="1" t="s">
        <v>28</v>
      </c>
      <c r="D176" s="1" t="s">
        <v>107</v>
      </c>
      <c r="E176" s="1">
        <v>1</v>
      </c>
      <c r="F176" s="49">
        <v>6000</v>
      </c>
      <c r="G176" s="49">
        <v>6000</v>
      </c>
    </row>
    <row r="177" spans="1:7" x14ac:dyDescent="0.25">
      <c r="A177" s="1">
        <v>74</v>
      </c>
      <c r="B177" s="1">
        <v>2</v>
      </c>
      <c r="C177" s="1" t="s">
        <v>110</v>
      </c>
      <c r="D177" s="1" t="s">
        <v>115</v>
      </c>
      <c r="E177" s="1">
        <v>1</v>
      </c>
      <c r="F177" s="49">
        <v>6000</v>
      </c>
      <c r="G177" s="49">
        <v>6000</v>
      </c>
    </row>
    <row r="178" spans="1:7" x14ac:dyDescent="0.25">
      <c r="A178" s="1">
        <v>75</v>
      </c>
      <c r="B178" s="1">
        <v>3</v>
      </c>
      <c r="C178" s="1" t="s">
        <v>130</v>
      </c>
      <c r="D178" s="1" t="s">
        <v>132</v>
      </c>
      <c r="E178" s="1">
        <v>2</v>
      </c>
      <c r="F178" s="49">
        <v>12000</v>
      </c>
      <c r="G178" s="49">
        <v>24000</v>
      </c>
    </row>
    <row r="179" spans="1:7" x14ac:dyDescent="0.25">
      <c r="A179" s="1">
        <v>75</v>
      </c>
      <c r="B179" s="1">
        <v>4</v>
      </c>
      <c r="C179" s="1" t="s">
        <v>131</v>
      </c>
      <c r="D179" s="1" t="s">
        <v>133</v>
      </c>
      <c r="E179" s="1">
        <v>1</v>
      </c>
      <c r="F179" s="49">
        <v>14000</v>
      </c>
      <c r="G179" s="49">
        <v>14000</v>
      </c>
    </row>
    <row r="180" spans="1:7" x14ac:dyDescent="0.25">
      <c r="A180" s="1">
        <v>76</v>
      </c>
      <c r="B180" s="1">
        <v>1</v>
      </c>
      <c r="C180" s="1" t="s">
        <v>22</v>
      </c>
      <c r="D180" s="1" t="s">
        <v>104</v>
      </c>
      <c r="E180" s="1">
        <v>1</v>
      </c>
      <c r="F180" s="49">
        <v>7000</v>
      </c>
      <c r="G180" s="49">
        <v>7000</v>
      </c>
    </row>
    <row r="181" spans="1:7" x14ac:dyDescent="0.25">
      <c r="A181" s="1">
        <v>76</v>
      </c>
      <c r="B181" s="1">
        <v>2</v>
      </c>
      <c r="C181" s="1" t="s">
        <v>10</v>
      </c>
      <c r="D181" s="1" t="s">
        <v>15</v>
      </c>
      <c r="E181" s="1">
        <v>2</v>
      </c>
      <c r="F181" s="49">
        <v>10000</v>
      </c>
      <c r="G181" s="49">
        <v>20000</v>
      </c>
    </row>
    <row r="182" spans="1:7" x14ac:dyDescent="0.25">
      <c r="A182" s="1">
        <v>76</v>
      </c>
      <c r="B182" s="1">
        <v>3</v>
      </c>
      <c r="C182" s="1" t="s">
        <v>110</v>
      </c>
      <c r="D182" s="1" t="s">
        <v>115</v>
      </c>
      <c r="E182" s="1">
        <v>1</v>
      </c>
      <c r="F182" s="49">
        <v>6000</v>
      </c>
      <c r="G182" s="49">
        <v>6000</v>
      </c>
    </row>
    <row r="183" spans="1:7" x14ac:dyDescent="0.25">
      <c r="A183" s="1">
        <v>77</v>
      </c>
      <c r="B183" s="1">
        <v>1</v>
      </c>
      <c r="C183" s="1" t="s">
        <v>65</v>
      </c>
      <c r="D183" s="1" t="s">
        <v>16</v>
      </c>
      <c r="E183" s="1">
        <v>1</v>
      </c>
      <c r="F183" s="49">
        <v>10000</v>
      </c>
      <c r="G183" s="49">
        <v>10000</v>
      </c>
    </row>
    <row r="184" spans="1:7" x14ac:dyDescent="0.25">
      <c r="A184" s="1">
        <v>77</v>
      </c>
      <c r="B184" s="1">
        <v>2</v>
      </c>
      <c r="C184" s="1" t="s">
        <v>127</v>
      </c>
      <c r="D184" s="1" t="s">
        <v>128</v>
      </c>
      <c r="E184" s="1">
        <v>1</v>
      </c>
      <c r="F184" s="49">
        <v>4000</v>
      </c>
      <c r="G184" s="49">
        <v>4000</v>
      </c>
    </row>
    <row r="185" spans="1:7" x14ac:dyDescent="0.25">
      <c r="A185" s="1">
        <v>77</v>
      </c>
      <c r="B185" s="1">
        <v>3</v>
      </c>
      <c r="C185" s="1" t="s">
        <v>32</v>
      </c>
      <c r="D185" s="1" t="s">
        <v>9</v>
      </c>
      <c r="E185" s="1">
        <v>1</v>
      </c>
      <c r="F185" s="49">
        <v>9000</v>
      </c>
      <c r="G185" s="49">
        <v>9000</v>
      </c>
    </row>
    <row r="186" spans="1:7" x14ac:dyDescent="0.25">
      <c r="A186" s="1">
        <v>77</v>
      </c>
      <c r="B186" s="1">
        <v>4</v>
      </c>
      <c r="C186" s="1" t="s">
        <v>110</v>
      </c>
      <c r="D186" s="1" t="s">
        <v>115</v>
      </c>
      <c r="E186" s="1">
        <v>1</v>
      </c>
      <c r="F186" s="49">
        <v>6000</v>
      </c>
      <c r="G186" s="49">
        <v>6000</v>
      </c>
    </row>
    <row r="187" spans="1:7" x14ac:dyDescent="0.25">
      <c r="A187" s="1">
        <v>78</v>
      </c>
      <c r="B187" s="1">
        <v>1</v>
      </c>
      <c r="C187" s="1" t="s">
        <v>158</v>
      </c>
      <c r="D187" s="1" t="s">
        <v>159</v>
      </c>
      <c r="E187" s="1">
        <v>2</v>
      </c>
      <c r="F187" s="49">
        <v>1400</v>
      </c>
      <c r="G187" s="49">
        <v>2800</v>
      </c>
    </row>
    <row r="188" spans="1:7" x14ac:dyDescent="0.25">
      <c r="A188" s="1">
        <v>78</v>
      </c>
      <c r="B188" s="1">
        <v>2</v>
      </c>
      <c r="C188" s="1" t="s">
        <v>28</v>
      </c>
      <c r="D188" s="1" t="s">
        <v>107</v>
      </c>
      <c r="E188" s="1">
        <v>2</v>
      </c>
      <c r="F188" s="49">
        <v>6000</v>
      </c>
      <c r="G188" s="49">
        <v>12000</v>
      </c>
    </row>
    <row r="189" spans="1:7" x14ac:dyDescent="0.25">
      <c r="A189" s="1">
        <v>79</v>
      </c>
      <c r="B189" s="1">
        <v>1</v>
      </c>
      <c r="C189" s="1" t="s">
        <v>22</v>
      </c>
      <c r="D189" s="1" t="s">
        <v>104</v>
      </c>
      <c r="E189" s="1">
        <v>3</v>
      </c>
      <c r="F189" s="49">
        <v>7000</v>
      </c>
      <c r="G189" s="49">
        <v>21000</v>
      </c>
    </row>
    <row r="190" spans="1:7" x14ac:dyDescent="0.25">
      <c r="A190" s="1">
        <v>79</v>
      </c>
      <c r="B190" s="1">
        <v>2</v>
      </c>
      <c r="C190" s="1" t="s">
        <v>28</v>
      </c>
      <c r="D190" s="1" t="s">
        <v>107</v>
      </c>
      <c r="E190" s="1">
        <v>3</v>
      </c>
      <c r="F190" s="49">
        <v>6000</v>
      </c>
      <c r="G190" s="49">
        <v>18000</v>
      </c>
    </row>
    <row r="191" spans="1:7" x14ac:dyDescent="0.25">
      <c r="A191" s="1">
        <v>80</v>
      </c>
      <c r="B191" s="1">
        <v>1</v>
      </c>
      <c r="C191" s="1" t="s">
        <v>28</v>
      </c>
      <c r="D191" s="1" t="s">
        <v>107</v>
      </c>
      <c r="E191" s="1">
        <v>2</v>
      </c>
      <c r="F191" s="49">
        <v>6000</v>
      </c>
      <c r="G191" s="49">
        <v>12000</v>
      </c>
    </row>
    <row r="192" spans="1:7" x14ac:dyDescent="0.25">
      <c r="A192" s="1">
        <v>81</v>
      </c>
      <c r="B192" s="1">
        <v>1</v>
      </c>
      <c r="C192" s="1" t="s">
        <v>28</v>
      </c>
      <c r="D192" s="1" t="s">
        <v>107</v>
      </c>
      <c r="E192" s="1">
        <v>1</v>
      </c>
      <c r="F192" s="49">
        <v>6000</v>
      </c>
      <c r="G192" s="49">
        <v>6000</v>
      </c>
    </row>
    <row r="193" spans="1:7" x14ac:dyDescent="0.25">
      <c r="A193" s="1">
        <v>82</v>
      </c>
      <c r="B193" s="1">
        <v>1</v>
      </c>
      <c r="C193" s="1" t="s">
        <v>28</v>
      </c>
      <c r="D193" s="1" t="s">
        <v>107</v>
      </c>
      <c r="E193" s="1">
        <v>2</v>
      </c>
      <c r="F193" s="49">
        <v>6000</v>
      </c>
      <c r="G193" s="49">
        <v>12000</v>
      </c>
    </row>
    <row r="194" spans="1:7" x14ac:dyDescent="0.25">
      <c r="A194" s="1">
        <v>82</v>
      </c>
      <c r="B194" s="1">
        <v>2</v>
      </c>
      <c r="C194" s="1" t="s">
        <v>65</v>
      </c>
      <c r="D194" s="1" t="s">
        <v>16</v>
      </c>
      <c r="E194" s="1">
        <v>1</v>
      </c>
      <c r="F194" s="49">
        <v>10000</v>
      </c>
      <c r="G194" s="49">
        <v>10000</v>
      </c>
    </row>
    <row r="195" spans="1:7" x14ac:dyDescent="0.25">
      <c r="A195" s="1">
        <v>82</v>
      </c>
      <c r="B195" s="1">
        <v>3</v>
      </c>
      <c r="C195" s="1" t="s">
        <v>110</v>
      </c>
      <c r="D195" s="1" t="s">
        <v>115</v>
      </c>
      <c r="E195" s="1">
        <v>1</v>
      </c>
      <c r="F195" s="49">
        <v>6000</v>
      </c>
      <c r="G195" s="49">
        <v>6000</v>
      </c>
    </row>
    <row r="196" spans="1:7" x14ac:dyDescent="0.25">
      <c r="A196" s="1">
        <v>83</v>
      </c>
      <c r="B196" s="1">
        <v>1</v>
      </c>
      <c r="C196" s="1" t="s">
        <v>182</v>
      </c>
      <c r="D196" s="1" t="s">
        <v>183</v>
      </c>
      <c r="E196" s="1">
        <v>3</v>
      </c>
      <c r="F196" s="49">
        <v>9000</v>
      </c>
      <c r="G196" s="49">
        <v>27000</v>
      </c>
    </row>
    <row r="197" spans="1:7" x14ac:dyDescent="0.25">
      <c r="A197" s="1">
        <v>84</v>
      </c>
      <c r="B197" s="1">
        <v>1</v>
      </c>
      <c r="C197" s="1" t="s">
        <v>65</v>
      </c>
      <c r="D197" s="1" t="s">
        <v>16</v>
      </c>
      <c r="E197" s="1">
        <v>1</v>
      </c>
      <c r="F197" s="49">
        <v>10000</v>
      </c>
      <c r="G197" s="49">
        <v>10000</v>
      </c>
    </row>
    <row r="198" spans="1:7" x14ac:dyDescent="0.25">
      <c r="A198" s="1">
        <v>85</v>
      </c>
      <c r="B198" s="1">
        <v>1</v>
      </c>
      <c r="C198" s="1" t="s">
        <v>127</v>
      </c>
      <c r="D198" s="1" t="s">
        <v>128</v>
      </c>
      <c r="E198" s="1">
        <v>1</v>
      </c>
      <c r="F198" s="49">
        <v>4000</v>
      </c>
      <c r="G198" s="49">
        <v>4000</v>
      </c>
    </row>
    <row r="199" spans="1:7" x14ac:dyDescent="0.25">
      <c r="A199" s="1">
        <v>86</v>
      </c>
      <c r="B199" s="1">
        <v>1</v>
      </c>
      <c r="C199" s="1" t="s">
        <v>65</v>
      </c>
      <c r="D199" s="1" t="s">
        <v>16</v>
      </c>
      <c r="E199" s="1">
        <v>1</v>
      </c>
      <c r="F199" s="49">
        <v>10000</v>
      </c>
      <c r="G199" s="49">
        <v>10000</v>
      </c>
    </row>
    <row r="200" spans="1:7" x14ac:dyDescent="0.25">
      <c r="A200" s="1">
        <v>87</v>
      </c>
      <c r="B200" s="1">
        <v>1</v>
      </c>
      <c r="C200" s="1" t="s">
        <v>10</v>
      </c>
      <c r="D200" s="1" t="s">
        <v>15</v>
      </c>
      <c r="E200" s="1">
        <v>1</v>
      </c>
      <c r="F200" s="49">
        <v>10000</v>
      </c>
      <c r="G200" s="49">
        <v>10000</v>
      </c>
    </row>
    <row r="201" spans="1:7" ht="30" x14ac:dyDescent="0.25">
      <c r="A201" s="1">
        <v>88</v>
      </c>
      <c r="B201" s="1">
        <v>1</v>
      </c>
      <c r="C201" s="1" t="s">
        <v>113</v>
      </c>
      <c r="D201" s="1" t="s">
        <v>171</v>
      </c>
      <c r="E201" s="1">
        <v>1</v>
      </c>
      <c r="F201" s="49">
        <v>6000</v>
      </c>
      <c r="G201" s="49">
        <v>6000</v>
      </c>
    </row>
    <row r="202" spans="1:7" x14ac:dyDescent="0.25">
      <c r="A202" s="1">
        <v>88</v>
      </c>
      <c r="B202" s="1">
        <v>2</v>
      </c>
      <c r="C202" s="1" t="s">
        <v>182</v>
      </c>
      <c r="D202" s="1" t="s">
        <v>183</v>
      </c>
      <c r="E202" s="1">
        <v>2</v>
      </c>
      <c r="F202" s="49">
        <v>9000</v>
      </c>
      <c r="G202" s="49">
        <v>18000</v>
      </c>
    </row>
    <row r="203" spans="1:7" x14ac:dyDescent="0.25">
      <c r="A203" s="1">
        <v>89</v>
      </c>
      <c r="B203" s="1">
        <v>1</v>
      </c>
      <c r="C203" s="1" t="s">
        <v>28</v>
      </c>
      <c r="D203" s="1" t="s">
        <v>184</v>
      </c>
      <c r="E203" s="1">
        <v>4</v>
      </c>
      <c r="F203" s="49">
        <v>6000</v>
      </c>
      <c r="G203" s="49">
        <v>24000</v>
      </c>
    </row>
    <row r="204" spans="1:7" x14ac:dyDescent="0.25">
      <c r="A204" s="1">
        <v>90</v>
      </c>
      <c r="B204" s="1">
        <v>1</v>
      </c>
      <c r="C204" s="1" t="s">
        <v>110</v>
      </c>
      <c r="D204" s="1" t="s">
        <v>115</v>
      </c>
      <c r="E204" s="1">
        <v>1</v>
      </c>
      <c r="F204" s="49">
        <v>6000</v>
      </c>
      <c r="G204" s="49">
        <v>6000</v>
      </c>
    </row>
    <row r="205" spans="1:7" x14ac:dyDescent="0.25">
      <c r="A205" s="1">
        <v>91</v>
      </c>
      <c r="B205" s="1">
        <v>1</v>
      </c>
      <c r="C205" s="1" t="s">
        <v>110</v>
      </c>
      <c r="D205" s="1" t="s">
        <v>115</v>
      </c>
      <c r="E205" s="1">
        <v>1</v>
      </c>
      <c r="F205" s="49">
        <v>6000</v>
      </c>
      <c r="G205" s="49">
        <v>6000</v>
      </c>
    </row>
    <row r="206" spans="1:7" x14ac:dyDescent="0.25">
      <c r="A206" s="1">
        <v>92</v>
      </c>
      <c r="B206" s="1">
        <v>1</v>
      </c>
      <c r="C206" s="1" t="s">
        <v>182</v>
      </c>
      <c r="D206" s="1" t="s">
        <v>183</v>
      </c>
      <c r="E206" s="1">
        <v>1</v>
      </c>
      <c r="F206" s="49">
        <v>9000</v>
      </c>
      <c r="G206" s="49">
        <v>9000</v>
      </c>
    </row>
    <row r="207" spans="1:7" x14ac:dyDescent="0.25">
      <c r="A207" s="1">
        <v>92</v>
      </c>
      <c r="B207" s="1">
        <v>2</v>
      </c>
      <c r="C207" s="1" t="s">
        <v>110</v>
      </c>
      <c r="D207" s="1" t="s">
        <v>115</v>
      </c>
      <c r="E207" s="1">
        <v>1</v>
      </c>
      <c r="F207" s="49">
        <v>6000</v>
      </c>
      <c r="G207" s="49">
        <v>6000</v>
      </c>
    </row>
    <row r="208" spans="1:7" x14ac:dyDescent="0.25">
      <c r="A208" s="1">
        <v>92</v>
      </c>
      <c r="B208" s="1">
        <v>3</v>
      </c>
      <c r="C208" s="1" t="s">
        <v>65</v>
      </c>
      <c r="D208" s="1" t="s">
        <v>16</v>
      </c>
      <c r="E208" s="1">
        <v>1</v>
      </c>
      <c r="F208" s="49">
        <v>10000</v>
      </c>
      <c r="G208" s="49">
        <v>10000</v>
      </c>
    </row>
    <row r="209" spans="1:7" x14ac:dyDescent="0.25">
      <c r="A209" s="1">
        <v>93</v>
      </c>
      <c r="B209" s="1">
        <v>1</v>
      </c>
      <c r="C209" s="1" t="s">
        <v>28</v>
      </c>
      <c r="D209" s="1" t="s">
        <v>107</v>
      </c>
      <c r="E209" s="1">
        <v>2</v>
      </c>
      <c r="F209" s="49">
        <v>6000</v>
      </c>
      <c r="G209" s="49">
        <v>12000</v>
      </c>
    </row>
    <row r="210" spans="1:7" x14ac:dyDescent="0.25">
      <c r="A210" s="1">
        <v>94</v>
      </c>
      <c r="B210" s="1">
        <v>1</v>
      </c>
      <c r="C210" s="1" t="s">
        <v>28</v>
      </c>
      <c r="D210" s="1" t="s">
        <v>107</v>
      </c>
      <c r="E210" s="1">
        <v>3</v>
      </c>
      <c r="F210" s="49">
        <v>6000</v>
      </c>
      <c r="G210" s="49">
        <v>18000</v>
      </c>
    </row>
    <row r="211" spans="1:7" x14ac:dyDescent="0.25">
      <c r="A211" s="1">
        <v>94</v>
      </c>
      <c r="B211" s="1">
        <v>2</v>
      </c>
      <c r="C211" s="1" t="s">
        <v>10</v>
      </c>
      <c r="D211" s="1" t="s">
        <v>15</v>
      </c>
      <c r="E211" s="1">
        <v>1</v>
      </c>
      <c r="F211" s="49">
        <v>10000</v>
      </c>
      <c r="G211" s="49">
        <v>10000</v>
      </c>
    </row>
    <row r="212" spans="1:7" x14ac:dyDescent="0.25">
      <c r="A212" s="1">
        <v>94</v>
      </c>
      <c r="B212" s="1">
        <v>3</v>
      </c>
      <c r="C212" s="1" t="s">
        <v>65</v>
      </c>
      <c r="D212" s="1" t="s">
        <v>16</v>
      </c>
      <c r="E212" s="1">
        <v>1</v>
      </c>
      <c r="F212" s="49">
        <v>10000</v>
      </c>
      <c r="G212" s="49">
        <v>10000</v>
      </c>
    </row>
    <row r="213" spans="1:7" x14ac:dyDescent="0.25">
      <c r="A213" s="1">
        <v>95</v>
      </c>
      <c r="B213" s="1">
        <v>1</v>
      </c>
      <c r="C213" s="1" t="s">
        <v>22</v>
      </c>
      <c r="D213" s="1" t="s">
        <v>104</v>
      </c>
      <c r="E213" s="1">
        <v>3</v>
      </c>
      <c r="F213" s="49">
        <v>7000</v>
      </c>
      <c r="G213" s="49">
        <v>7000</v>
      </c>
    </row>
    <row r="214" spans="1:7" x14ac:dyDescent="0.25">
      <c r="A214" s="1">
        <v>95</v>
      </c>
      <c r="B214" s="1">
        <v>2</v>
      </c>
      <c r="C214" s="1" t="s">
        <v>65</v>
      </c>
      <c r="D214" s="1" t="s">
        <v>16</v>
      </c>
      <c r="E214" s="1">
        <v>2</v>
      </c>
      <c r="F214" s="49">
        <v>10000</v>
      </c>
      <c r="G214" s="49">
        <v>20000</v>
      </c>
    </row>
    <row r="215" spans="1:7" x14ac:dyDescent="0.25">
      <c r="A215" s="1">
        <v>96</v>
      </c>
      <c r="B215" s="1">
        <v>1</v>
      </c>
      <c r="C215" s="1" t="s">
        <v>30</v>
      </c>
      <c r="D215" s="1" t="s">
        <v>108</v>
      </c>
      <c r="E215" s="1">
        <v>6</v>
      </c>
      <c r="F215" s="49">
        <v>6000</v>
      </c>
      <c r="G215" s="49">
        <v>36000</v>
      </c>
    </row>
    <row r="216" spans="1:7" x14ac:dyDescent="0.25">
      <c r="A216" s="1">
        <v>97</v>
      </c>
      <c r="B216" s="1">
        <v>1</v>
      </c>
      <c r="C216" s="1" t="s">
        <v>30</v>
      </c>
      <c r="D216" s="1" t="s">
        <v>5</v>
      </c>
      <c r="E216" s="1">
        <v>1</v>
      </c>
      <c r="F216" s="49">
        <v>4000</v>
      </c>
      <c r="G216" s="49">
        <v>4000</v>
      </c>
    </row>
    <row r="217" spans="1:7" x14ac:dyDescent="0.25">
      <c r="A217" s="1">
        <v>98</v>
      </c>
      <c r="B217" s="1">
        <v>1</v>
      </c>
      <c r="C217" s="1" t="s">
        <v>28</v>
      </c>
      <c r="D217" s="1" t="s">
        <v>107</v>
      </c>
      <c r="E217" s="1">
        <v>13</v>
      </c>
      <c r="F217" s="49">
        <v>6000</v>
      </c>
      <c r="G217" s="49">
        <v>78000</v>
      </c>
    </row>
    <row r="218" spans="1:7" x14ac:dyDescent="0.25">
      <c r="A218" s="1">
        <v>98</v>
      </c>
      <c r="B218" s="1">
        <v>2</v>
      </c>
      <c r="C218" s="1" t="s">
        <v>22</v>
      </c>
      <c r="D218" s="1" t="s">
        <v>104</v>
      </c>
      <c r="E218" s="1">
        <v>3</v>
      </c>
      <c r="F218" s="49">
        <v>7000</v>
      </c>
      <c r="G218" s="49">
        <v>21000</v>
      </c>
    </row>
    <row r="219" spans="1:7" x14ac:dyDescent="0.25">
      <c r="A219" s="1">
        <v>98</v>
      </c>
      <c r="B219" s="1">
        <v>3</v>
      </c>
      <c r="C219" s="1" t="s">
        <v>110</v>
      </c>
      <c r="D219" s="1" t="s">
        <v>115</v>
      </c>
      <c r="E219" s="1">
        <v>3</v>
      </c>
      <c r="F219" s="49">
        <v>6000</v>
      </c>
      <c r="G219" s="49">
        <v>18000</v>
      </c>
    </row>
    <row r="220" spans="1:7" x14ac:dyDescent="0.25">
      <c r="A220" s="1">
        <v>98</v>
      </c>
      <c r="B220" s="1">
        <v>4</v>
      </c>
      <c r="C220" s="1" t="s">
        <v>301</v>
      </c>
      <c r="D220" s="1" t="s">
        <v>191</v>
      </c>
      <c r="E220" s="1">
        <v>2</v>
      </c>
      <c r="F220" s="49">
        <v>3000</v>
      </c>
      <c r="G220" s="49">
        <v>6000</v>
      </c>
    </row>
    <row r="221" spans="1:7" x14ac:dyDescent="0.25">
      <c r="A221" s="1">
        <v>98</v>
      </c>
      <c r="B221" s="1">
        <v>5</v>
      </c>
      <c r="C221" s="1" t="s">
        <v>240</v>
      </c>
      <c r="D221" s="1" t="s">
        <v>241</v>
      </c>
      <c r="E221" s="1">
        <v>1</v>
      </c>
      <c r="F221" s="49">
        <v>65000</v>
      </c>
      <c r="G221" s="49">
        <v>65000</v>
      </c>
    </row>
    <row r="222" spans="1:7" x14ac:dyDescent="0.25">
      <c r="A222" s="1">
        <v>99</v>
      </c>
      <c r="B222" s="1">
        <v>1</v>
      </c>
      <c r="C222" s="1" t="s">
        <v>110</v>
      </c>
      <c r="D222" s="1" t="s">
        <v>115</v>
      </c>
      <c r="E222" s="1">
        <v>1</v>
      </c>
      <c r="F222" s="49">
        <v>6000</v>
      </c>
      <c r="G222" s="49">
        <v>6000</v>
      </c>
    </row>
    <row r="223" spans="1:7" x14ac:dyDescent="0.25">
      <c r="A223" s="1">
        <v>99</v>
      </c>
      <c r="B223" s="1">
        <v>2</v>
      </c>
      <c r="C223" s="1" t="s">
        <v>65</v>
      </c>
      <c r="D223" s="1" t="s">
        <v>16</v>
      </c>
      <c r="E223" s="1">
        <v>1</v>
      </c>
      <c r="F223" s="49">
        <v>10000</v>
      </c>
      <c r="G223" s="49">
        <v>10000</v>
      </c>
    </row>
    <row r="224" spans="1:7" x14ac:dyDescent="0.25">
      <c r="A224" s="1">
        <v>100</v>
      </c>
      <c r="B224" s="1">
        <v>1</v>
      </c>
      <c r="C224" s="1" t="s">
        <v>110</v>
      </c>
      <c r="D224" s="1" t="s">
        <v>115</v>
      </c>
      <c r="E224" s="1">
        <v>1</v>
      </c>
      <c r="F224" s="49">
        <v>6000</v>
      </c>
      <c r="G224" s="49">
        <v>6000</v>
      </c>
    </row>
    <row r="225" spans="1:7" x14ac:dyDescent="0.25">
      <c r="A225" s="1">
        <v>101</v>
      </c>
      <c r="B225" s="1">
        <v>1</v>
      </c>
      <c r="C225" s="1" t="s">
        <v>28</v>
      </c>
      <c r="D225" s="1" t="s">
        <v>107</v>
      </c>
      <c r="E225" s="1">
        <v>2</v>
      </c>
      <c r="F225" s="49">
        <v>6000</v>
      </c>
      <c r="G225" s="49">
        <v>12000</v>
      </c>
    </row>
    <row r="226" spans="1:7" x14ac:dyDescent="0.25">
      <c r="A226" s="1">
        <v>101</v>
      </c>
      <c r="B226" s="1">
        <v>2</v>
      </c>
      <c r="C226" s="1" t="s">
        <v>110</v>
      </c>
      <c r="D226" s="1" t="s">
        <v>115</v>
      </c>
      <c r="E226" s="1">
        <v>1</v>
      </c>
      <c r="F226" s="49">
        <v>6000</v>
      </c>
      <c r="G226" s="49">
        <v>6000</v>
      </c>
    </row>
    <row r="227" spans="1:7" x14ac:dyDescent="0.25">
      <c r="A227" s="1">
        <v>102</v>
      </c>
      <c r="B227" s="1">
        <v>1</v>
      </c>
      <c r="C227" s="1" t="s">
        <v>22</v>
      </c>
      <c r="D227" s="1" t="s">
        <v>104</v>
      </c>
      <c r="E227" s="1">
        <v>2</v>
      </c>
      <c r="F227" s="49">
        <v>7000</v>
      </c>
      <c r="G227" s="49">
        <v>14000</v>
      </c>
    </row>
    <row r="228" spans="1:7" x14ac:dyDescent="0.25">
      <c r="A228" s="1">
        <v>102</v>
      </c>
      <c r="B228" s="1">
        <v>2</v>
      </c>
      <c r="C228" s="1" t="s">
        <v>28</v>
      </c>
      <c r="D228" s="1" t="s">
        <v>107</v>
      </c>
      <c r="E228" s="1">
        <v>1</v>
      </c>
      <c r="F228" s="49">
        <v>6000</v>
      </c>
      <c r="G228" s="49">
        <v>6000</v>
      </c>
    </row>
    <row r="229" spans="1:7" x14ac:dyDescent="0.25">
      <c r="A229" s="1">
        <v>102</v>
      </c>
      <c r="B229" s="1">
        <v>3</v>
      </c>
      <c r="C229" s="1" t="s">
        <v>301</v>
      </c>
      <c r="D229" s="1" t="s">
        <v>191</v>
      </c>
      <c r="E229" s="1">
        <v>1</v>
      </c>
      <c r="F229" s="49">
        <v>3000</v>
      </c>
      <c r="G229" s="49">
        <v>3000</v>
      </c>
    </row>
    <row r="230" spans="1:7" x14ac:dyDescent="0.25">
      <c r="A230" s="1">
        <v>103</v>
      </c>
      <c r="B230" s="1">
        <v>1</v>
      </c>
      <c r="C230" s="1" t="s">
        <v>110</v>
      </c>
      <c r="D230" s="1" t="s">
        <v>115</v>
      </c>
      <c r="E230" s="1">
        <v>2</v>
      </c>
      <c r="F230" s="49">
        <v>6000</v>
      </c>
      <c r="G230" s="49">
        <v>12000</v>
      </c>
    </row>
    <row r="231" spans="1:7" x14ac:dyDescent="0.25">
      <c r="A231" s="1">
        <v>103</v>
      </c>
      <c r="B231" s="1">
        <v>2</v>
      </c>
      <c r="C231" s="1" t="s">
        <v>10</v>
      </c>
      <c r="D231" s="1" t="s">
        <v>15</v>
      </c>
      <c r="E231" s="1">
        <v>1</v>
      </c>
      <c r="F231" s="49">
        <v>10000</v>
      </c>
      <c r="G231" s="49">
        <v>10000</v>
      </c>
    </row>
    <row r="232" spans="1:7" x14ac:dyDescent="0.25">
      <c r="A232" s="1">
        <v>104</v>
      </c>
      <c r="B232" s="1">
        <v>1</v>
      </c>
      <c r="C232" s="1" t="s">
        <v>28</v>
      </c>
      <c r="D232" s="1" t="s">
        <v>107</v>
      </c>
      <c r="E232" s="1">
        <v>9</v>
      </c>
      <c r="F232" s="49">
        <v>6000</v>
      </c>
      <c r="G232" s="49">
        <v>54000</v>
      </c>
    </row>
    <row r="233" spans="1:7" x14ac:dyDescent="0.25">
      <c r="A233" s="1">
        <v>104</v>
      </c>
      <c r="B233" s="1">
        <v>2</v>
      </c>
      <c r="C233" s="1" t="s">
        <v>65</v>
      </c>
      <c r="D233" s="1" t="s">
        <v>16</v>
      </c>
      <c r="E233" s="1">
        <v>3</v>
      </c>
      <c r="F233" s="49">
        <v>10000</v>
      </c>
      <c r="G233" s="49">
        <v>30000</v>
      </c>
    </row>
    <row r="234" spans="1:7" ht="30" x14ac:dyDescent="0.25">
      <c r="A234" s="1">
        <v>104</v>
      </c>
      <c r="B234" s="1">
        <v>3</v>
      </c>
      <c r="C234" s="1" t="s">
        <v>113</v>
      </c>
      <c r="D234" s="1" t="s">
        <v>171</v>
      </c>
      <c r="E234" s="1">
        <v>1</v>
      </c>
      <c r="F234" s="49">
        <v>6000</v>
      </c>
      <c r="G234" s="49">
        <v>6000</v>
      </c>
    </row>
    <row r="235" spans="1:7" x14ac:dyDescent="0.25">
      <c r="A235" s="1">
        <v>105</v>
      </c>
      <c r="B235" s="1">
        <v>1</v>
      </c>
      <c r="C235" s="1" t="s">
        <v>65</v>
      </c>
      <c r="D235" s="1" t="s">
        <v>16</v>
      </c>
      <c r="E235" s="1">
        <v>1</v>
      </c>
      <c r="F235" s="49">
        <v>10000</v>
      </c>
      <c r="G235" s="49">
        <v>10000</v>
      </c>
    </row>
    <row r="236" spans="1:7" x14ac:dyDescent="0.25">
      <c r="A236" s="1">
        <v>105</v>
      </c>
      <c r="B236" s="1">
        <v>2</v>
      </c>
      <c r="C236" s="1" t="s">
        <v>190</v>
      </c>
      <c r="D236" s="1" t="s">
        <v>184</v>
      </c>
      <c r="E236" s="1">
        <v>1</v>
      </c>
      <c r="F236" s="49">
        <v>6000</v>
      </c>
      <c r="G236" s="49">
        <v>6000</v>
      </c>
    </row>
    <row r="237" spans="1:7" x14ac:dyDescent="0.25">
      <c r="A237" s="1">
        <v>105</v>
      </c>
      <c r="B237" s="1">
        <v>3</v>
      </c>
      <c r="C237" s="1" t="s">
        <v>110</v>
      </c>
      <c r="D237" s="1" t="s">
        <v>115</v>
      </c>
      <c r="E237" s="1">
        <v>1</v>
      </c>
      <c r="F237" s="49">
        <v>6000</v>
      </c>
      <c r="G237" s="49">
        <v>6000</v>
      </c>
    </row>
    <row r="238" spans="1:7" x14ac:dyDescent="0.25">
      <c r="A238" s="1">
        <v>106</v>
      </c>
      <c r="B238" s="1">
        <v>1</v>
      </c>
      <c r="C238" s="1" t="s">
        <v>28</v>
      </c>
      <c r="D238" s="1" t="s">
        <v>107</v>
      </c>
      <c r="E238" s="1">
        <v>11</v>
      </c>
      <c r="F238" s="49">
        <v>6000</v>
      </c>
      <c r="G238" s="49">
        <v>66000</v>
      </c>
    </row>
    <row r="239" spans="1:7" x14ac:dyDescent="0.25">
      <c r="A239" s="1">
        <v>106</v>
      </c>
      <c r="B239" s="1">
        <v>2</v>
      </c>
      <c r="C239" s="1" t="s">
        <v>10</v>
      </c>
      <c r="D239" s="1" t="s">
        <v>15</v>
      </c>
      <c r="E239" s="1">
        <v>1</v>
      </c>
      <c r="F239" s="49">
        <v>10000</v>
      </c>
      <c r="G239" s="49">
        <v>10000</v>
      </c>
    </row>
    <row r="240" spans="1:7" x14ac:dyDescent="0.25">
      <c r="A240" s="1">
        <v>106</v>
      </c>
      <c r="B240" s="1">
        <v>3</v>
      </c>
      <c r="C240" s="1" t="s">
        <v>21</v>
      </c>
      <c r="D240" s="1" t="s">
        <v>5</v>
      </c>
      <c r="E240" s="1">
        <v>1</v>
      </c>
      <c r="F240" s="49">
        <v>3000</v>
      </c>
      <c r="G240" s="49">
        <v>3000</v>
      </c>
    </row>
    <row r="241" spans="1:7" x14ac:dyDescent="0.25">
      <c r="A241" s="1">
        <v>106</v>
      </c>
      <c r="B241" s="1">
        <v>4</v>
      </c>
      <c r="C241" s="1" t="s">
        <v>22</v>
      </c>
      <c r="D241" s="1" t="s">
        <v>104</v>
      </c>
      <c r="E241" s="1">
        <v>2</v>
      </c>
      <c r="F241" s="49">
        <v>7000</v>
      </c>
      <c r="G241" s="49">
        <v>14000</v>
      </c>
    </row>
    <row r="242" spans="1:7" x14ac:dyDescent="0.25">
      <c r="A242" s="1">
        <v>107</v>
      </c>
      <c r="B242" s="1">
        <v>1</v>
      </c>
      <c r="C242" s="1" t="s">
        <v>110</v>
      </c>
      <c r="D242" s="1" t="s">
        <v>115</v>
      </c>
      <c r="E242" s="1">
        <v>1</v>
      </c>
      <c r="F242" s="49">
        <v>6000</v>
      </c>
      <c r="G242" s="49">
        <v>6000</v>
      </c>
    </row>
    <row r="243" spans="1:7" x14ac:dyDescent="0.25">
      <c r="A243" s="1">
        <v>107</v>
      </c>
      <c r="B243" s="1">
        <v>2</v>
      </c>
      <c r="C243" s="1" t="s">
        <v>28</v>
      </c>
      <c r="D243" s="1" t="s">
        <v>107</v>
      </c>
      <c r="E243" s="1">
        <v>1</v>
      </c>
      <c r="F243" s="49">
        <v>6000</v>
      </c>
      <c r="G243" s="49">
        <v>6000</v>
      </c>
    </row>
    <row r="244" spans="1:7" x14ac:dyDescent="0.25">
      <c r="A244" s="1">
        <v>107</v>
      </c>
      <c r="B244" s="1">
        <v>3</v>
      </c>
      <c r="C244" s="1" t="s">
        <v>22</v>
      </c>
      <c r="D244" s="1" t="s">
        <v>104</v>
      </c>
      <c r="E244" s="1">
        <v>3</v>
      </c>
      <c r="F244" s="49">
        <v>7000</v>
      </c>
      <c r="G244" s="49">
        <v>21000</v>
      </c>
    </row>
    <row r="245" spans="1:7" x14ac:dyDescent="0.25">
      <c r="A245" s="1">
        <v>108</v>
      </c>
      <c r="B245" s="1">
        <v>1</v>
      </c>
      <c r="C245" s="1" t="s">
        <v>28</v>
      </c>
      <c r="D245" s="1" t="s">
        <v>107</v>
      </c>
      <c r="E245" s="1">
        <v>3</v>
      </c>
      <c r="F245" s="49">
        <v>6000</v>
      </c>
      <c r="G245" s="49">
        <v>18000</v>
      </c>
    </row>
    <row r="246" spans="1:7" x14ac:dyDescent="0.25">
      <c r="A246" s="1">
        <v>108</v>
      </c>
      <c r="B246" s="1">
        <v>2</v>
      </c>
      <c r="C246" s="1" t="s">
        <v>65</v>
      </c>
      <c r="D246" s="1" t="s">
        <v>16</v>
      </c>
      <c r="E246" s="1">
        <v>1</v>
      </c>
      <c r="F246" s="49">
        <v>10000</v>
      </c>
      <c r="G246" s="49">
        <v>10000</v>
      </c>
    </row>
    <row r="247" spans="1:7" x14ac:dyDescent="0.25">
      <c r="A247" s="1">
        <v>108</v>
      </c>
      <c r="B247" s="1">
        <v>3</v>
      </c>
      <c r="C247" s="1" t="s">
        <v>21</v>
      </c>
      <c r="D247" s="1" t="s">
        <v>5</v>
      </c>
      <c r="E247" s="1">
        <v>1</v>
      </c>
      <c r="F247" s="49">
        <v>3000</v>
      </c>
      <c r="G247" s="49">
        <v>3000</v>
      </c>
    </row>
    <row r="248" spans="1:7" x14ac:dyDescent="0.25">
      <c r="A248" s="1">
        <v>108</v>
      </c>
      <c r="B248" s="1">
        <v>4</v>
      </c>
      <c r="C248" s="1" t="s">
        <v>33</v>
      </c>
      <c r="D248" s="1" t="s">
        <v>17</v>
      </c>
      <c r="E248" s="1">
        <v>1</v>
      </c>
      <c r="F248" s="49">
        <v>5000</v>
      </c>
      <c r="G248" s="49">
        <v>5000</v>
      </c>
    </row>
    <row r="249" spans="1:7" x14ac:dyDescent="0.25">
      <c r="A249" s="1">
        <v>109</v>
      </c>
      <c r="B249" s="1">
        <v>1</v>
      </c>
      <c r="C249" s="1" t="s">
        <v>28</v>
      </c>
      <c r="D249" s="1" t="s">
        <v>107</v>
      </c>
      <c r="E249" s="1">
        <v>4</v>
      </c>
      <c r="F249" s="49">
        <v>6000</v>
      </c>
      <c r="G249" s="49">
        <v>24000</v>
      </c>
    </row>
    <row r="250" spans="1:7" x14ac:dyDescent="0.25">
      <c r="A250" s="1">
        <v>109</v>
      </c>
      <c r="B250" s="1">
        <v>2</v>
      </c>
      <c r="C250" s="1" t="s">
        <v>22</v>
      </c>
      <c r="D250" s="1" t="s">
        <v>104</v>
      </c>
      <c r="E250" s="1">
        <v>1</v>
      </c>
      <c r="F250" s="49">
        <v>7000</v>
      </c>
      <c r="G250" s="49">
        <v>7000</v>
      </c>
    </row>
    <row r="251" spans="1:7" x14ac:dyDescent="0.25">
      <c r="A251" s="1">
        <v>110</v>
      </c>
      <c r="B251" s="1">
        <v>1</v>
      </c>
      <c r="C251" s="1" t="s">
        <v>10</v>
      </c>
      <c r="D251" s="1" t="s">
        <v>15</v>
      </c>
      <c r="E251" s="1">
        <v>1</v>
      </c>
      <c r="F251" s="49">
        <v>10000</v>
      </c>
      <c r="G251" s="49">
        <v>10000</v>
      </c>
    </row>
    <row r="252" spans="1:7" x14ac:dyDescent="0.25">
      <c r="A252" s="1">
        <v>110</v>
      </c>
      <c r="B252" s="1">
        <v>2</v>
      </c>
      <c r="C252" s="1" t="s">
        <v>65</v>
      </c>
      <c r="D252" s="1" t="s">
        <v>16</v>
      </c>
      <c r="E252" s="1">
        <v>1</v>
      </c>
      <c r="F252" s="49">
        <v>10000</v>
      </c>
      <c r="G252" s="49">
        <v>10000</v>
      </c>
    </row>
    <row r="253" spans="1:7" x14ac:dyDescent="0.25">
      <c r="A253" s="1">
        <v>110</v>
      </c>
      <c r="B253" s="1">
        <v>3</v>
      </c>
      <c r="C253" s="1" t="s">
        <v>164</v>
      </c>
      <c r="D253" s="1" t="s">
        <v>165</v>
      </c>
      <c r="E253" s="1">
        <v>1</v>
      </c>
      <c r="F253" s="49">
        <v>4000</v>
      </c>
      <c r="G253" s="49">
        <v>4000</v>
      </c>
    </row>
    <row r="254" spans="1:7" x14ac:dyDescent="0.25">
      <c r="A254" s="1">
        <v>111</v>
      </c>
      <c r="B254" s="1">
        <v>1</v>
      </c>
      <c r="C254" s="1" t="s">
        <v>22</v>
      </c>
      <c r="D254" s="1" t="s">
        <v>104</v>
      </c>
      <c r="E254" s="1">
        <v>1</v>
      </c>
      <c r="F254" s="49">
        <v>7000</v>
      </c>
      <c r="G254" s="49">
        <v>7000</v>
      </c>
    </row>
    <row r="255" spans="1:7" x14ac:dyDescent="0.25">
      <c r="A255" s="1">
        <v>111</v>
      </c>
      <c r="B255" s="1">
        <v>2</v>
      </c>
      <c r="C255" s="1" t="s">
        <v>21</v>
      </c>
      <c r="D255" s="1" t="s">
        <v>5</v>
      </c>
      <c r="E255" s="1">
        <v>1</v>
      </c>
      <c r="F255" s="49">
        <v>3000</v>
      </c>
      <c r="G255" s="49">
        <v>3000</v>
      </c>
    </row>
    <row r="256" spans="1:7" x14ac:dyDescent="0.25">
      <c r="A256" s="1">
        <v>112</v>
      </c>
      <c r="B256" s="1">
        <v>1</v>
      </c>
      <c r="C256" s="1" t="s">
        <v>28</v>
      </c>
      <c r="D256" s="1" t="s">
        <v>107</v>
      </c>
      <c r="E256" s="1">
        <v>1</v>
      </c>
      <c r="F256" s="49">
        <v>6000</v>
      </c>
      <c r="G256" s="49">
        <v>6000</v>
      </c>
    </row>
    <row r="257" spans="1:7" x14ac:dyDescent="0.25">
      <c r="A257" s="1">
        <v>112</v>
      </c>
      <c r="B257" s="1">
        <v>2</v>
      </c>
      <c r="C257" s="1" t="s">
        <v>21</v>
      </c>
      <c r="D257" s="1" t="s">
        <v>5</v>
      </c>
      <c r="E257" s="1">
        <v>1</v>
      </c>
      <c r="F257" s="49">
        <v>3000</v>
      </c>
      <c r="G257" s="49">
        <v>3000</v>
      </c>
    </row>
    <row r="258" spans="1:7" x14ac:dyDescent="0.25">
      <c r="A258" s="1">
        <v>112</v>
      </c>
      <c r="B258" s="1">
        <v>3</v>
      </c>
      <c r="C258" s="1" t="s">
        <v>10</v>
      </c>
      <c r="D258" s="1" t="s">
        <v>15</v>
      </c>
      <c r="E258" s="1">
        <v>2</v>
      </c>
      <c r="F258" s="49">
        <v>10000</v>
      </c>
      <c r="G258" s="49">
        <v>20000</v>
      </c>
    </row>
    <row r="259" spans="1:7" x14ac:dyDescent="0.25">
      <c r="A259" s="1">
        <v>112</v>
      </c>
      <c r="B259" s="1">
        <v>4</v>
      </c>
      <c r="C259" s="1" t="s">
        <v>164</v>
      </c>
      <c r="D259" s="1" t="s">
        <v>165</v>
      </c>
      <c r="E259" s="1">
        <v>1</v>
      </c>
      <c r="F259" s="49">
        <v>4000</v>
      </c>
      <c r="G259" s="49">
        <v>4000</v>
      </c>
    </row>
    <row r="260" spans="1:7" x14ac:dyDescent="0.25">
      <c r="A260" s="1">
        <v>113</v>
      </c>
      <c r="B260" s="1">
        <v>1</v>
      </c>
      <c r="C260" s="1" t="s">
        <v>32</v>
      </c>
      <c r="D260" s="1" t="s">
        <v>9</v>
      </c>
      <c r="E260" s="1">
        <v>1</v>
      </c>
      <c r="F260" s="49">
        <v>9000</v>
      </c>
      <c r="G260" s="49">
        <v>9000</v>
      </c>
    </row>
    <row r="261" spans="1:7" x14ac:dyDescent="0.25">
      <c r="A261" s="1">
        <v>113</v>
      </c>
      <c r="B261" s="1">
        <v>2</v>
      </c>
      <c r="C261" s="1" t="s">
        <v>10</v>
      </c>
      <c r="D261" s="1" t="s">
        <v>15</v>
      </c>
      <c r="E261" s="1">
        <v>2</v>
      </c>
      <c r="F261" s="49">
        <v>10000</v>
      </c>
      <c r="G261" s="49">
        <v>20000</v>
      </c>
    </row>
    <row r="262" spans="1:7" ht="30" x14ac:dyDescent="0.25">
      <c r="A262" s="1">
        <v>114</v>
      </c>
      <c r="B262" s="1">
        <v>1</v>
      </c>
      <c r="C262" s="1" t="s">
        <v>113</v>
      </c>
      <c r="D262" s="1" t="s">
        <v>171</v>
      </c>
      <c r="E262" s="1">
        <v>2</v>
      </c>
      <c r="F262" s="49">
        <v>6000</v>
      </c>
      <c r="G262" s="49">
        <v>12000</v>
      </c>
    </row>
    <row r="263" spans="1:7" x14ac:dyDescent="0.25">
      <c r="A263" s="1">
        <v>114</v>
      </c>
      <c r="B263" s="1">
        <v>2</v>
      </c>
      <c r="C263" s="1" t="s">
        <v>10</v>
      </c>
      <c r="D263" s="1" t="s">
        <v>15</v>
      </c>
      <c r="E263" s="1">
        <v>1</v>
      </c>
      <c r="F263" s="49">
        <v>10000</v>
      </c>
      <c r="G263" s="49">
        <v>10000</v>
      </c>
    </row>
    <row r="264" spans="1:7" x14ac:dyDescent="0.25">
      <c r="A264" s="1">
        <v>114</v>
      </c>
      <c r="B264" s="1">
        <v>3</v>
      </c>
      <c r="C264" s="1" t="s">
        <v>65</v>
      </c>
      <c r="D264" s="1" t="s">
        <v>16</v>
      </c>
      <c r="E264" s="1">
        <v>1</v>
      </c>
      <c r="F264" s="49">
        <v>10000</v>
      </c>
      <c r="G264" s="49">
        <v>10000</v>
      </c>
    </row>
    <row r="265" spans="1:7" ht="30" x14ac:dyDescent="0.25">
      <c r="A265" s="1">
        <v>115</v>
      </c>
      <c r="B265" s="1">
        <v>1</v>
      </c>
      <c r="C265" s="1" t="s">
        <v>113</v>
      </c>
      <c r="D265" s="1" t="s">
        <v>171</v>
      </c>
      <c r="E265" s="1">
        <v>1</v>
      </c>
      <c r="F265" s="49">
        <v>6000</v>
      </c>
      <c r="G265" s="49">
        <v>6000</v>
      </c>
    </row>
    <row r="266" spans="1:7" x14ac:dyDescent="0.25">
      <c r="A266" s="1">
        <v>115</v>
      </c>
      <c r="B266" s="1">
        <v>2</v>
      </c>
      <c r="C266" s="1" t="s">
        <v>28</v>
      </c>
      <c r="D266" s="1" t="s">
        <v>107</v>
      </c>
      <c r="E266" s="1">
        <v>1</v>
      </c>
      <c r="F266" s="49">
        <v>6000</v>
      </c>
      <c r="G266" s="49">
        <v>6000</v>
      </c>
    </row>
    <row r="267" spans="1:7" x14ac:dyDescent="0.25">
      <c r="A267" s="1">
        <v>116</v>
      </c>
      <c r="B267" s="1">
        <v>1</v>
      </c>
      <c r="C267" s="1" t="s">
        <v>190</v>
      </c>
      <c r="D267" s="1" t="s">
        <v>184</v>
      </c>
      <c r="E267" s="1">
        <v>1</v>
      </c>
      <c r="F267" s="49">
        <v>6000</v>
      </c>
      <c r="G267" s="49">
        <v>6000</v>
      </c>
    </row>
    <row r="268" spans="1:7" x14ac:dyDescent="0.25">
      <c r="A268" s="1">
        <v>116</v>
      </c>
      <c r="B268" s="1">
        <v>2</v>
      </c>
      <c r="C268" s="1" t="s">
        <v>28</v>
      </c>
      <c r="D268" s="1" t="s">
        <v>107</v>
      </c>
      <c r="E268" s="1">
        <v>1</v>
      </c>
      <c r="F268" s="49">
        <v>6000</v>
      </c>
      <c r="G268" s="49">
        <v>6000</v>
      </c>
    </row>
    <row r="269" spans="1:7" x14ac:dyDescent="0.25">
      <c r="A269" s="1">
        <v>116</v>
      </c>
      <c r="B269" s="1">
        <v>3</v>
      </c>
      <c r="C269" s="1" t="s">
        <v>22</v>
      </c>
      <c r="D269" s="1" t="s">
        <v>104</v>
      </c>
      <c r="E269" s="1">
        <v>2</v>
      </c>
      <c r="F269" s="49">
        <v>7000</v>
      </c>
      <c r="G269" s="49">
        <v>14000</v>
      </c>
    </row>
    <row r="270" spans="1:7" x14ac:dyDescent="0.25">
      <c r="A270" s="1">
        <v>116</v>
      </c>
      <c r="B270" s="1">
        <v>4</v>
      </c>
      <c r="C270" s="1" t="s">
        <v>301</v>
      </c>
      <c r="D270" s="1" t="s">
        <v>191</v>
      </c>
      <c r="E270" s="1">
        <v>2</v>
      </c>
      <c r="F270" s="49">
        <v>3000</v>
      </c>
      <c r="G270" s="49">
        <v>6000</v>
      </c>
    </row>
    <row r="271" spans="1:7" ht="30" x14ac:dyDescent="0.25">
      <c r="A271" s="1">
        <v>117</v>
      </c>
      <c r="B271" s="1">
        <v>1</v>
      </c>
      <c r="C271" s="1" t="s">
        <v>113</v>
      </c>
      <c r="D271" s="1" t="s">
        <v>171</v>
      </c>
      <c r="E271" s="1">
        <v>1</v>
      </c>
      <c r="F271" s="49">
        <v>6000</v>
      </c>
      <c r="G271" s="49">
        <v>6000</v>
      </c>
    </row>
    <row r="272" spans="1:7" x14ac:dyDescent="0.25">
      <c r="A272" s="1">
        <v>117</v>
      </c>
      <c r="B272" s="1">
        <v>2</v>
      </c>
      <c r="C272" s="1" t="s">
        <v>10</v>
      </c>
      <c r="D272" s="1" t="s">
        <v>15</v>
      </c>
      <c r="E272" s="1">
        <v>1</v>
      </c>
      <c r="F272" s="49">
        <v>10000</v>
      </c>
      <c r="G272" s="49">
        <v>10000</v>
      </c>
    </row>
    <row r="273" spans="1:7" x14ac:dyDescent="0.25">
      <c r="A273" s="1">
        <v>118</v>
      </c>
      <c r="B273" s="1">
        <v>1</v>
      </c>
      <c r="C273" s="1" t="s">
        <v>22</v>
      </c>
      <c r="D273" s="1" t="s">
        <v>104</v>
      </c>
      <c r="E273" s="1">
        <v>2</v>
      </c>
      <c r="F273" s="49">
        <v>7000</v>
      </c>
      <c r="G273" s="49">
        <v>14000</v>
      </c>
    </row>
    <row r="274" spans="1:7" x14ac:dyDescent="0.25">
      <c r="A274" s="1">
        <v>119</v>
      </c>
      <c r="B274" s="1">
        <v>1</v>
      </c>
      <c r="C274" s="1" t="s">
        <v>110</v>
      </c>
      <c r="D274" s="1" t="s">
        <v>115</v>
      </c>
      <c r="E274" s="1">
        <v>3</v>
      </c>
      <c r="F274" s="49">
        <v>6000</v>
      </c>
      <c r="G274" s="49">
        <v>18000</v>
      </c>
    </row>
    <row r="275" spans="1:7" x14ac:dyDescent="0.25">
      <c r="A275" s="1">
        <v>119</v>
      </c>
      <c r="B275" s="1">
        <v>2</v>
      </c>
      <c r="C275" s="1" t="s">
        <v>65</v>
      </c>
      <c r="D275" s="1" t="s">
        <v>16</v>
      </c>
      <c r="E275" s="1">
        <v>1</v>
      </c>
      <c r="F275" s="49">
        <v>10000</v>
      </c>
      <c r="G275" s="49">
        <v>10000</v>
      </c>
    </row>
    <row r="276" spans="1:7" x14ac:dyDescent="0.25">
      <c r="A276" s="1">
        <v>120</v>
      </c>
      <c r="B276" s="1">
        <v>1</v>
      </c>
      <c r="C276" s="1" t="s">
        <v>110</v>
      </c>
      <c r="D276" s="1" t="s">
        <v>115</v>
      </c>
      <c r="E276" s="1">
        <v>1</v>
      </c>
      <c r="F276" s="49">
        <v>6000</v>
      </c>
      <c r="G276" s="49">
        <v>6000</v>
      </c>
    </row>
    <row r="277" spans="1:7" x14ac:dyDescent="0.25">
      <c r="A277" s="1">
        <v>120</v>
      </c>
      <c r="B277" s="1">
        <v>2</v>
      </c>
      <c r="C277" s="1" t="s">
        <v>10</v>
      </c>
      <c r="D277" s="1" t="s">
        <v>15</v>
      </c>
      <c r="E277" s="1">
        <v>2</v>
      </c>
      <c r="F277" s="49">
        <v>10000</v>
      </c>
      <c r="G277" s="49">
        <v>20000</v>
      </c>
    </row>
    <row r="278" spans="1:7" x14ac:dyDescent="0.25">
      <c r="A278" s="1">
        <v>120</v>
      </c>
      <c r="B278" s="1">
        <v>3</v>
      </c>
      <c r="C278" s="1" t="s">
        <v>28</v>
      </c>
      <c r="D278" s="1" t="s">
        <v>107</v>
      </c>
      <c r="E278" s="1">
        <v>1</v>
      </c>
      <c r="F278" s="49">
        <v>6000</v>
      </c>
      <c r="G278" s="49">
        <v>6000</v>
      </c>
    </row>
    <row r="279" spans="1:7" x14ac:dyDescent="0.25">
      <c r="A279" s="1">
        <v>121</v>
      </c>
      <c r="B279" s="1">
        <v>1</v>
      </c>
      <c r="C279" s="1" t="s">
        <v>28</v>
      </c>
      <c r="D279" s="1" t="s">
        <v>107</v>
      </c>
      <c r="E279" s="1">
        <v>1</v>
      </c>
      <c r="F279" s="49">
        <v>6000</v>
      </c>
      <c r="G279" s="49">
        <v>6000</v>
      </c>
    </row>
    <row r="280" spans="1:7" x14ac:dyDescent="0.25">
      <c r="A280" s="1">
        <v>121</v>
      </c>
      <c r="B280" s="1">
        <v>2</v>
      </c>
      <c r="C280" s="1" t="s">
        <v>22</v>
      </c>
      <c r="D280" s="1" t="s">
        <v>104</v>
      </c>
      <c r="E280" s="1">
        <v>1</v>
      </c>
      <c r="F280" s="49">
        <v>7000</v>
      </c>
      <c r="G280" s="49">
        <v>7000</v>
      </c>
    </row>
    <row r="281" spans="1:7" x14ac:dyDescent="0.25">
      <c r="A281" s="1">
        <v>121</v>
      </c>
      <c r="B281" s="1">
        <v>3</v>
      </c>
      <c r="C281" s="1" t="s">
        <v>301</v>
      </c>
      <c r="D281" s="1" t="s">
        <v>191</v>
      </c>
      <c r="E281" s="1">
        <v>1</v>
      </c>
      <c r="F281" s="49">
        <v>3000</v>
      </c>
      <c r="G281" s="49">
        <v>3000</v>
      </c>
    </row>
    <row r="282" spans="1:7" ht="30" x14ac:dyDescent="0.25">
      <c r="A282" s="1">
        <v>121</v>
      </c>
      <c r="B282" s="1">
        <v>3</v>
      </c>
      <c r="C282" s="1" t="s">
        <v>113</v>
      </c>
      <c r="D282" s="1" t="s">
        <v>171</v>
      </c>
      <c r="E282" s="1">
        <v>1</v>
      </c>
      <c r="F282" s="49">
        <v>6000</v>
      </c>
      <c r="G282" s="49">
        <v>6000</v>
      </c>
    </row>
    <row r="283" spans="1:7" x14ac:dyDescent="0.25">
      <c r="A283" s="1">
        <v>122</v>
      </c>
      <c r="B283" s="1">
        <v>1</v>
      </c>
      <c r="C283" s="1" t="s">
        <v>21</v>
      </c>
      <c r="D283" s="1" t="s">
        <v>5</v>
      </c>
      <c r="E283" s="1">
        <v>1</v>
      </c>
      <c r="F283" s="49">
        <v>3000</v>
      </c>
      <c r="G283" s="49">
        <v>3000</v>
      </c>
    </row>
    <row r="284" spans="1:7" x14ac:dyDescent="0.25">
      <c r="A284" s="1">
        <v>122</v>
      </c>
      <c r="B284" s="1">
        <v>2</v>
      </c>
      <c r="C284" s="1" t="s">
        <v>10</v>
      </c>
      <c r="D284" s="1" t="s">
        <v>15</v>
      </c>
      <c r="E284" s="1">
        <v>1</v>
      </c>
      <c r="F284" s="49">
        <v>10000</v>
      </c>
      <c r="G284" s="49">
        <v>10000</v>
      </c>
    </row>
    <row r="285" spans="1:7" x14ac:dyDescent="0.25">
      <c r="A285" s="1">
        <v>123</v>
      </c>
      <c r="B285" s="1">
        <v>1</v>
      </c>
      <c r="C285" s="1" t="s">
        <v>22</v>
      </c>
      <c r="D285" s="1" t="s">
        <v>104</v>
      </c>
      <c r="E285" s="1">
        <v>1</v>
      </c>
      <c r="F285" s="49">
        <v>7000</v>
      </c>
      <c r="G285" s="49">
        <v>7000</v>
      </c>
    </row>
    <row r="286" spans="1:7" x14ac:dyDescent="0.25">
      <c r="A286" s="1">
        <v>123</v>
      </c>
      <c r="B286" s="1">
        <v>2</v>
      </c>
      <c r="C286" s="1" t="s">
        <v>301</v>
      </c>
      <c r="D286" s="1" t="s">
        <v>191</v>
      </c>
      <c r="E286" s="1">
        <v>1</v>
      </c>
      <c r="F286" s="49">
        <v>3000</v>
      </c>
      <c r="G286" s="49">
        <v>3000</v>
      </c>
    </row>
    <row r="287" spans="1:7" x14ac:dyDescent="0.25">
      <c r="A287" s="1">
        <v>123</v>
      </c>
      <c r="B287" s="1">
        <v>3</v>
      </c>
      <c r="C287" s="1" t="s">
        <v>10</v>
      </c>
      <c r="D287" s="1" t="s">
        <v>15</v>
      </c>
      <c r="E287" s="1">
        <v>2</v>
      </c>
      <c r="F287" s="49">
        <v>10000</v>
      </c>
      <c r="G287" s="49">
        <v>20000</v>
      </c>
    </row>
    <row r="288" spans="1:7" x14ac:dyDescent="0.25">
      <c r="A288" s="1">
        <v>124</v>
      </c>
      <c r="B288" s="1">
        <v>1</v>
      </c>
      <c r="C288" s="1" t="s">
        <v>65</v>
      </c>
      <c r="D288" s="1" t="s">
        <v>16</v>
      </c>
      <c r="E288" s="1">
        <v>1</v>
      </c>
      <c r="F288" s="49">
        <v>10000</v>
      </c>
      <c r="G288" s="49">
        <v>10000</v>
      </c>
    </row>
    <row r="289" spans="1:7" x14ac:dyDescent="0.25">
      <c r="A289" s="1">
        <v>124</v>
      </c>
      <c r="B289" s="1">
        <v>2</v>
      </c>
      <c r="C289" s="1" t="s">
        <v>28</v>
      </c>
      <c r="D289" s="1" t="s">
        <v>107</v>
      </c>
      <c r="E289" s="1">
        <v>3</v>
      </c>
      <c r="F289" s="49">
        <v>6000</v>
      </c>
      <c r="G289" s="49">
        <v>18000</v>
      </c>
    </row>
    <row r="290" spans="1:7" x14ac:dyDescent="0.25">
      <c r="A290" s="1">
        <v>125</v>
      </c>
      <c r="B290" s="1">
        <v>1</v>
      </c>
      <c r="C290" s="1" t="s">
        <v>28</v>
      </c>
      <c r="D290" s="1" t="s">
        <v>107</v>
      </c>
      <c r="E290" s="1">
        <v>2</v>
      </c>
      <c r="F290" s="49">
        <v>6000</v>
      </c>
      <c r="G290" s="49">
        <v>12000</v>
      </c>
    </row>
    <row r="291" spans="1:7" x14ac:dyDescent="0.25">
      <c r="A291" s="1">
        <v>126</v>
      </c>
      <c r="B291" s="1">
        <v>1</v>
      </c>
      <c r="C291" s="1" t="s">
        <v>10</v>
      </c>
      <c r="D291" s="1" t="s">
        <v>15</v>
      </c>
      <c r="E291" s="1">
        <v>1</v>
      </c>
      <c r="F291" s="49">
        <v>10000</v>
      </c>
      <c r="G291" s="49">
        <v>10000</v>
      </c>
    </row>
    <row r="292" spans="1:7" x14ac:dyDescent="0.25">
      <c r="A292" s="1">
        <v>126</v>
      </c>
      <c r="B292" s="1">
        <v>2</v>
      </c>
      <c r="C292" s="1" t="s">
        <v>28</v>
      </c>
      <c r="D292" s="1" t="s">
        <v>107</v>
      </c>
      <c r="E292" s="1">
        <v>1</v>
      </c>
      <c r="F292" s="49">
        <v>6000</v>
      </c>
      <c r="G292" s="49">
        <v>6000</v>
      </c>
    </row>
    <row r="293" spans="1:7" x14ac:dyDescent="0.25">
      <c r="A293" s="1">
        <v>126</v>
      </c>
      <c r="B293" s="1">
        <v>3</v>
      </c>
      <c r="C293" s="1" t="s">
        <v>130</v>
      </c>
      <c r="D293" s="1" t="s">
        <v>132</v>
      </c>
      <c r="E293" s="1">
        <v>2</v>
      </c>
      <c r="F293" s="49">
        <v>12000</v>
      </c>
      <c r="G293" s="49">
        <v>24000</v>
      </c>
    </row>
    <row r="294" spans="1:7" x14ac:dyDescent="0.25">
      <c r="A294" s="1">
        <v>127</v>
      </c>
      <c r="B294" s="1">
        <v>1</v>
      </c>
      <c r="C294" s="1" t="s">
        <v>22</v>
      </c>
      <c r="D294" s="1" t="s">
        <v>104</v>
      </c>
      <c r="E294" s="1">
        <v>1</v>
      </c>
      <c r="F294" s="49">
        <v>7000</v>
      </c>
      <c r="G294" s="49">
        <v>7000</v>
      </c>
    </row>
    <row r="295" spans="1:7" x14ac:dyDescent="0.25">
      <c r="A295" s="1">
        <v>127</v>
      </c>
      <c r="B295" s="1">
        <v>2</v>
      </c>
      <c r="C295" s="1" t="s">
        <v>28</v>
      </c>
      <c r="D295" s="1" t="s">
        <v>107</v>
      </c>
      <c r="E295" s="1">
        <v>1</v>
      </c>
      <c r="F295" s="49">
        <v>6000</v>
      </c>
      <c r="G295" s="49">
        <v>6000</v>
      </c>
    </row>
    <row r="296" spans="1:7" x14ac:dyDescent="0.25">
      <c r="A296" s="1">
        <v>127</v>
      </c>
      <c r="B296" s="1">
        <v>3</v>
      </c>
      <c r="C296" s="1" t="s">
        <v>65</v>
      </c>
      <c r="D296" s="1" t="s">
        <v>16</v>
      </c>
      <c r="E296" s="1">
        <v>1</v>
      </c>
      <c r="F296" s="49">
        <v>10000</v>
      </c>
      <c r="G296" s="49">
        <v>10000</v>
      </c>
    </row>
    <row r="297" spans="1:7" x14ac:dyDescent="0.25">
      <c r="A297" s="1">
        <v>128</v>
      </c>
      <c r="B297" s="1">
        <v>1</v>
      </c>
      <c r="C297" s="1" t="s">
        <v>158</v>
      </c>
      <c r="D297" s="1" t="s">
        <v>159</v>
      </c>
      <c r="E297" s="1">
        <v>2</v>
      </c>
      <c r="F297" s="49">
        <v>1400</v>
      </c>
      <c r="G297" s="49">
        <v>2800</v>
      </c>
    </row>
    <row r="298" spans="1:7" x14ac:dyDescent="0.25">
      <c r="A298" s="1">
        <v>128</v>
      </c>
      <c r="B298" s="1">
        <v>2</v>
      </c>
      <c r="C298" s="1" t="s">
        <v>22</v>
      </c>
      <c r="D298" s="1" t="s">
        <v>104</v>
      </c>
      <c r="E298" s="1">
        <v>2</v>
      </c>
      <c r="F298" s="49">
        <v>7000</v>
      </c>
      <c r="G298" s="49">
        <v>14000</v>
      </c>
    </row>
    <row r="299" spans="1:7" x14ac:dyDescent="0.25">
      <c r="A299" s="1">
        <v>129</v>
      </c>
      <c r="B299" s="1">
        <v>1</v>
      </c>
      <c r="C299" s="1" t="s">
        <v>112</v>
      </c>
      <c r="D299" s="1" t="s">
        <v>114</v>
      </c>
      <c r="E299" s="1">
        <v>1</v>
      </c>
      <c r="F299" s="49">
        <v>6000</v>
      </c>
      <c r="G299" s="49">
        <v>6000</v>
      </c>
    </row>
    <row r="300" spans="1:7" ht="30" x14ac:dyDescent="0.25">
      <c r="A300" s="1">
        <v>129</v>
      </c>
      <c r="B300" s="1">
        <v>2</v>
      </c>
      <c r="C300" s="1" t="s">
        <v>113</v>
      </c>
      <c r="D300" s="1" t="s">
        <v>171</v>
      </c>
      <c r="E300" s="1">
        <v>1</v>
      </c>
      <c r="F300" s="49">
        <v>6000</v>
      </c>
      <c r="G300" s="49">
        <v>6000</v>
      </c>
    </row>
    <row r="301" spans="1:7" x14ac:dyDescent="0.25">
      <c r="A301" s="1">
        <v>129</v>
      </c>
      <c r="B301" s="1">
        <v>3</v>
      </c>
      <c r="C301" s="1" t="s">
        <v>110</v>
      </c>
      <c r="D301" s="1" t="s">
        <v>115</v>
      </c>
      <c r="E301" s="1">
        <v>1</v>
      </c>
      <c r="F301" s="49">
        <v>6000</v>
      </c>
      <c r="G301" s="49">
        <v>6000</v>
      </c>
    </row>
    <row r="302" spans="1:7" x14ac:dyDescent="0.25">
      <c r="A302" s="1">
        <v>130</v>
      </c>
      <c r="B302" s="1">
        <v>1</v>
      </c>
      <c r="C302" s="1" t="s">
        <v>110</v>
      </c>
      <c r="D302" s="1" t="s">
        <v>115</v>
      </c>
      <c r="E302" s="1">
        <v>1</v>
      </c>
      <c r="F302" s="49">
        <v>6000</v>
      </c>
      <c r="G302" s="49">
        <v>6000</v>
      </c>
    </row>
    <row r="303" spans="1:7" x14ac:dyDescent="0.25">
      <c r="A303" s="1">
        <v>130</v>
      </c>
      <c r="B303" s="1">
        <v>2</v>
      </c>
      <c r="C303" s="1" t="s">
        <v>28</v>
      </c>
      <c r="D303" s="1" t="s">
        <v>107</v>
      </c>
      <c r="E303" s="1">
        <v>1</v>
      </c>
      <c r="F303" s="49">
        <v>6000</v>
      </c>
      <c r="G303" s="49">
        <v>6000</v>
      </c>
    </row>
    <row r="304" spans="1:7" ht="30" x14ac:dyDescent="0.25">
      <c r="A304" s="1">
        <v>131</v>
      </c>
      <c r="B304" s="1">
        <v>1</v>
      </c>
      <c r="C304" s="1" t="s">
        <v>113</v>
      </c>
      <c r="D304" s="1" t="s">
        <v>171</v>
      </c>
      <c r="E304" s="1">
        <v>1</v>
      </c>
      <c r="F304" s="49">
        <v>6000</v>
      </c>
      <c r="G304" s="49">
        <v>6000</v>
      </c>
    </row>
    <row r="305" spans="1:7" x14ac:dyDescent="0.25">
      <c r="A305" s="1">
        <v>131</v>
      </c>
      <c r="B305" s="1">
        <v>2</v>
      </c>
      <c r="C305" s="1" t="s">
        <v>127</v>
      </c>
      <c r="D305" s="1" t="s">
        <v>128</v>
      </c>
      <c r="E305" s="1">
        <v>1</v>
      </c>
      <c r="F305" s="49">
        <v>4000</v>
      </c>
      <c r="G305" s="49">
        <v>4000</v>
      </c>
    </row>
    <row r="306" spans="1:7" x14ac:dyDescent="0.25">
      <c r="A306" s="1">
        <v>131</v>
      </c>
      <c r="B306" s="1">
        <v>3</v>
      </c>
      <c r="C306" s="1" t="s">
        <v>65</v>
      </c>
      <c r="D306" s="1" t="s">
        <v>16</v>
      </c>
      <c r="E306" s="1">
        <v>1</v>
      </c>
      <c r="F306" s="49">
        <v>10000</v>
      </c>
      <c r="G306" s="49">
        <v>10000</v>
      </c>
    </row>
    <row r="307" spans="1:7" x14ac:dyDescent="0.25">
      <c r="A307" s="1">
        <v>132</v>
      </c>
      <c r="B307" s="1">
        <v>1</v>
      </c>
      <c r="C307" s="1" t="s">
        <v>110</v>
      </c>
      <c r="D307" s="1" t="s">
        <v>115</v>
      </c>
      <c r="E307" s="1">
        <v>1</v>
      </c>
      <c r="F307" s="49">
        <v>6000</v>
      </c>
      <c r="G307" s="49">
        <v>6000</v>
      </c>
    </row>
    <row r="308" spans="1:7" x14ac:dyDescent="0.25">
      <c r="A308" s="1">
        <v>133</v>
      </c>
      <c r="B308" s="1">
        <v>1</v>
      </c>
      <c r="C308" s="1" t="s">
        <v>110</v>
      </c>
      <c r="D308" s="1" t="s">
        <v>115</v>
      </c>
      <c r="E308" s="1">
        <v>1</v>
      </c>
      <c r="F308" s="49">
        <v>6000</v>
      </c>
      <c r="G308" s="49">
        <v>6000</v>
      </c>
    </row>
    <row r="309" spans="1:7" x14ac:dyDescent="0.25">
      <c r="A309" s="1">
        <v>134</v>
      </c>
      <c r="B309" s="1">
        <v>1</v>
      </c>
      <c r="C309" s="1" t="s">
        <v>28</v>
      </c>
      <c r="D309" s="1" t="s">
        <v>107</v>
      </c>
      <c r="E309" s="1">
        <v>2</v>
      </c>
      <c r="F309" s="49">
        <v>6000</v>
      </c>
      <c r="G309" s="49">
        <v>12000</v>
      </c>
    </row>
    <row r="310" spans="1:7" x14ac:dyDescent="0.25">
      <c r="A310" s="1">
        <v>134</v>
      </c>
      <c r="B310" s="1">
        <v>2</v>
      </c>
      <c r="C310" s="1" t="s">
        <v>158</v>
      </c>
      <c r="D310" s="1" t="s">
        <v>161</v>
      </c>
      <c r="E310" s="1">
        <v>3</v>
      </c>
      <c r="F310" s="49">
        <v>1200</v>
      </c>
      <c r="G310" s="49">
        <v>3600</v>
      </c>
    </row>
    <row r="311" spans="1:7" x14ac:dyDescent="0.25">
      <c r="A311" s="1">
        <v>134</v>
      </c>
      <c r="B311" s="1">
        <v>3</v>
      </c>
      <c r="C311" s="1" t="s">
        <v>65</v>
      </c>
      <c r="D311" s="1" t="s">
        <v>16</v>
      </c>
      <c r="E311" s="1">
        <v>1</v>
      </c>
      <c r="F311" s="49">
        <v>10000</v>
      </c>
      <c r="G311" s="49">
        <v>10000</v>
      </c>
    </row>
    <row r="312" spans="1:7" ht="30" x14ac:dyDescent="0.25">
      <c r="A312" s="1">
        <v>135</v>
      </c>
      <c r="B312" s="1">
        <v>1</v>
      </c>
      <c r="C312" s="1" t="s">
        <v>113</v>
      </c>
      <c r="D312" s="1" t="s">
        <v>171</v>
      </c>
      <c r="E312" s="1">
        <v>1</v>
      </c>
      <c r="F312" s="49">
        <v>6000</v>
      </c>
      <c r="G312" s="49">
        <v>6000</v>
      </c>
    </row>
    <row r="313" spans="1:7" x14ac:dyDescent="0.25">
      <c r="A313" s="1">
        <v>135</v>
      </c>
      <c r="B313" s="1">
        <v>2</v>
      </c>
      <c r="C313" s="1" t="s">
        <v>28</v>
      </c>
      <c r="D313" s="1" t="s">
        <v>107</v>
      </c>
      <c r="E313" s="1">
        <v>1</v>
      </c>
      <c r="F313" s="49">
        <v>6000</v>
      </c>
      <c r="G313" s="49">
        <v>6000</v>
      </c>
    </row>
    <row r="314" spans="1:7" x14ac:dyDescent="0.25">
      <c r="A314" s="1">
        <v>136</v>
      </c>
      <c r="B314" s="1">
        <v>1</v>
      </c>
      <c r="C314" s="1" t="s">
        <v>28</v>
      </c>
      <c r="D314" s="1" t="s">
        <v>107</v>
      </c>
      <c r="E314" s="1">
        <v>2</v>
      </c>
      <c r="F314" s="49">
        <v>6000</v>
      </c>
      <c r="G314" s="49">
        <v>12000</v>
      </c>
    </row>
    <row r="315" spans="1:7" x14ac:dyDescent="0.25">
      <c r="A315" s="1">
        <v>136</v>
      </c>
      <c r="B315" s="1">
        <v>2</v>
      </c>
      <c r="C315" s="1" t="s">
        <v>65</v>
      </c>
      <c r="D315" s="1" t="s">
        <v>16</v>
      </c>
      <c r="E315" s="1">
        <v>1</v>
      </c>
      <c r="F315" s="49">
        <v>10000</v>
      </c>
      <c r="G315" s="49">
        <v>10000</v>
      </c>
    </row>
    <row r="316" spans="1:7" x14ac:dyDescent="0.25">
      <c r="A316" s="1">
        <v>136</v>
      </c>
      <c r="B316" s="1">
        <v>3</v>
      </c>
      <c r="C316" s="1" t="s">
        <v>110</v>
      </c>
      <c r="D316" s="1" t="s">
        <v>115</v>
      </c>
      <c r="E316" s="1">
        <v>1</v>
      </c>
      <c r="F316" s="49">
        <v>6000</v>
      </c>
      <c r="G316" s="49">
        <v>6000</v>
      </c>
    </row>
    <row r="317" spans="1:7" x14ac:dyDescent="0.25">
      <c r="A317" s="1">
        <v>136</v>
      </c>
      <c r="B317" s="1">
        <v>4</v>
      </c>
      <c r="C317" s="1" t="s">
        <v>21</v>
      </c>
      <c r="D317" s="1" t="s">
        <v>5</v>
      </c>
      <c r="E317" s="1">
        <v>1</v>
      </c>
      <c r="F317" s="49">
        <v>3000</v>
      </c>
      <c r="G317" s="49">
        <v>3000</v>
      </c>
    </row>
    <row r="318" spans="1:7" x14ac:dyDescent="0.25">
      <c r="A318" s="1">
        <v>137</v>
      </c>
      <c r="B318" s="1">
        <v>1</v>
      </c>
      <c r="C318" s="1" t="s">
        <v>22</v>
      </c>
      <c r="D318" s="1" t="s">
        <v>104</v>
      </c>
      <c r="E318" s="1">
        <v>1</v>
      </c>
      <c r="F318" s="49">
        <v>7000</v>
      </c>
      <c r="G318" s="49">
        <v>7000</v>
      </c>
    </row>
    <row r="319" spans="1:7" ht="30" x14ac:dyDescent="0.25">
      <c r="A319" s="1">
        <v>137</v>
      </c>
      <c r="B319" s="1">
        <v>2</v>
      </c>
      <c r="C319" s="1" t="s">
        <v>113</v>
      </c>
      <c r="D319" s="1" t="s">
        <v>171</v>
      </c>
      <c r="E319" s="1">
        <v>1</v>
      </c>
      <c r="F319" s="49">
        <v>6000</v>
      </c>
      <c r="G319" s="49">
        <v>6000</v>
      </c>
    </row>
    <row r="320" spans="1:7" x14ac:dyDescent="0.25">
      <c r="A320" s="1">
        <v>137</v>
      </c>
      <c r="B320" s="1">
        <v>3</v>
      </c>
      <c r="C320" s="1" t="s">
        <v>65</v>
      </c>
      <c r="D320" s="1" t="s">
        <v>16</v>
      </c>
      <c r="E320" s="1">
        <v>1</v>
      </c>
      <c r="F320" s="49">
        <v>10000</v>
      </c>
      <c r="G320" s="49">
        <v>10000</v>
      </c>
    </row>
    <row r="321" spans="1:7" x14ac:dyDescent="0.25">
      <c r="A321" s="1">
        <v>138</v>
      </c>
      <c r="B321" s="1">
        <v>1</v>
      </c>
      <c r="C321" s="1" t="s">
        <v>182</v>
      </c>
      <c r="D321" s="1" t="s">
        <v>183</v>
      </c>
      <c r="E321" s="1">
        <v>2</v>
      </c>
      <c r="F321" s="49">
        <v>9000</v>
      </c>
      <c r="G321" s="49">
        <v>18000</v>
      </c>
    </row>
    <row r="322" spans="1:7" x14ac:dyDescent="0.25">
      <c r="A322" s="1">
        <v>138</v>
      </c>
      <c r="B322" s="1">
        <v>2</v>
      </c>
      <c r="C322" s="1" t="s">
        <v>10</v>
      </c>
      <c r="D322" s="1" t="s">
        <v>15</v>
      </c>
      <c r="E322" s="1">
        <v>1</v>
      </c>
      <c r="F322" s="49">
        <v>10000</v>
      </c>
      <c r="G322" s="49">
        <v>10000</v>
      </c>
    </row>
    <row r="323" spans="1:7" x14ac:dyDescent="0.25">
      <c r="A323" s="1">
        <v>138</v>
      </c>
      <c r="B323" s="1">
        <v>3</v>
      </c>
      <c r="C323" s="1" t="s">
        <v>21</v>
      </c>
      <c r="D323" s="1" t="s">
        <v>5</v>
      </c>
      <c r="E323" s="1">
        <v>1</v>
      </c>
      <c r="F323" s="49">
        <v>3000</v>
      </c>
      <c r="G323" s="49">
        <v>3000</v>
      </c>
    </row>
    <row r="324" spans="1:7" ht="30" x14ac:dyDescent="0.25">
      <c r="A324" s="1">
        <v>139</v>
      </c>
      <c r="B324" s="1">
        <v>1</v>
      </c>
      <c r="C324" s="1" t="s">
        <v>113</v>
      </c>
      <c r="D324" s="1" t="s">
        <v>171</v>
      </c>
      <c r="E324" s="1">
        <v>1</v>
      </c>
      <c r="F324" s="49">
        <v>6000</v>
      </c>
      <c r="G324" s="49">
        <v>6000</v>
      </c>
    </row>
    <row r="325" spans="1:7" x14ac:dyDescent="0.25">
      <c r="A325" s="1">
        <v>140</v>
      </c>
      <c r="B325" s="1">
        <v>1</v>
      </c>
      <c r="C325" s="1" t="s">
        <v>182</v>
      </c>
      <c r="D325" s="1" t="s">
        <v>183</v>
      </c>
      <c r="E325" s="1">
        <v>1</v>
      </c>
      <c r="F325" s="49">
        <v>9000</v>
      </c>
      <c r="G325" s="49">
        <v>9000</v>
      </c>
    </row>
    <row r="326" spans="1:7" x14ac:dyDescent="0.25">
      <c r="A326" s="1">
        <v>140</v>
      </c>
      <c r="B326" s="1">
        <v>2</v>
      </c>
      <c r="C326" s="1" t="s">
        <v>10</v>
      </c>
      <c r="D326" s="1" t="s">
        <v>15</v>
      </c>
      <c r="E326" s="1">
        <v>1</v>
      </c>
      <c r="F326" s="49">
        <v>10000</v>
      </c>
      <c r="G326" s="49">
        <v>10000</v>
      </c>
    </row>
    <row r="327" spans="1:7" ht="30" x14ac:dyDescent="0.25">
      <c r="A327" s="1">
        <v>141</v>
      </c>
      <c r="B327" s="1">
        <v>1</v>
      </c>
      <c r="C327" s="1" t="s">
        <v>113</v>
      </c>
      <c r="D327" s="1" t="s">
        <v>171</v>
      </c>
      <c r="E327" s="1">
        <v>1</v>
      </c>
      <c r="F327" s="49">
        <v>6000</v>
      </c>
      <c r="G327" s="49">
        <v>6000</v>
      </c>
    </row>
    <row r="328" spans="1:7" x14ac:dyDescent="0.25">
      <c r="A328" s="1">
        <v>141</v>
      </c>
      <c r="B328" s="1">
        <v>2</v>
      </c>
      <c r="C328" s="1" t="s">
        <v>65</v>
      </c>
      <c r="D328" s="1" t="s">
        <v>16</v>
      </c>
      <c r="E328" s="1">
        <v>1</v>
      </c>
      <c r="F328" s="49">
        <v>10000</v>
      </c>
      <c r="G328" s="49">
        <v>10000</v>
      </c>
    </row>
    <row r="329" spans="1:7" x14ac:dyDescent="0.25">
      <c r="A329" s="1">
        <v>141</v>
      </c>
      <c r="B329" s="1">
        <v>3</v>
      </c>
      <c r="C329" s="1" t="s">
        <v>110</v>
      </c>
      <c r="D329" s="1" t="s">
        <v>115</v>
      </c>
      <c r="E329" s="1">
        <v>1</v>
      </c>
      <c r="F329" s="49">
        <v>6000</v>
      </c>
      <c r="G329" s="49">
        <v>6000</v>
      </c>
    </row>
    <row r="330" spans="1:7" x14ac:dyDescent="0.25">
      <c r="A330" s="1">
        <v>141</v>
      </c>
      <c r="B330" s="1">
        <v>4</v>
      </c>
      <c r="C330" s="1" t="s">
        <v>21</v>
      </c>
      <c r="D330" s="1" t="s">
        <v>5</v>
      </c>
      <c r="E330" s="1">
        <v>1</v>
      </c>
      <c r="F330" s="49">
        <v>3000</v>
      </c>
      <c r="G330" s="49">
        <v>3000</v>
      </c>
    </row>
    <row r="331" spans="1:7" x14ac:dyDescent="0.25">
      <c r="A331" s="1">
        <v>142</v>
      </c>
      <c r="B331" s="1">
        <v>1</v>
      </c>
      <c r="C331" s="1" t="s">
        <v>10</v>
      </c>
      <c r="D331" s="1" t="s">
        <v>15</v>
      </c>
      <c r="E331" s="1">
        <v>1</v>
      </c>
      <c r="F331" s="49">
        <v>10000</v>
      </c>
      <c r="G331" s="49">
        <v>10000</v>
      </c>
    </row>
    <row r="332" spans="1:7" x14ac:dyDescent="0.25">
      <c r="A332" s="1">
        <v>143</v>
      </c>
      <c r="B332" s="1">
        <v>1</v>
      </c>
      <c r="C332" s="1" t="s">
        <v>28</v>
      </c>
      <c r="D332" s="1" t="s">
        <v>107</v>
      </c>
      <c r="E332" s="1">
        <v>1</v>
      </c>
      <c r="F332" s="49">
        <v>6000</v>
      </c>
      <c r="G332" s="49">
        <v>6000</v>
      </c>
    </row>
    <row r="333" spans="1:7" x14ac:dyDescent="0.25">
      <c r="A333" s="1">
        <v>143</v>
      </c>
      <c r="B333" s="1">
        <v>2</v>
      </c>
      <c r="C333" s="1" t="s">
        <v>110</v>
      </c>
      <c r="D333" s="1" t="s">
        <v>115</v>
      </c>
      <c r="E333" s="1">
        <v>1</v>
      </c>
      <c r="F333" s="49">
        <v>6000</v>
      </c>
      <c r="G333" s="49">
        <v>6000</v>
      </c>
    </row>
    <row r="334" spans="1:7" ht="30" x14ac:dyDescent="0.25">
      <c r="A334" s="1">
        <v>143</v>
      </c>
      <c r="B334" s="1">
        <v>3</v>
      </c>
      <c r="C334" s="1" t="s">
        <v>113</v>
      </c>
      <c r="D334" s="1" t="s">
        <v>171</v>
      </c>
      <c r="E334" s="1">
        <v>1</v>
      </c>
      <c r="F334" s="49">
        <v>6000</v>
      </c>
      <c r="G334" s="49">
        <v>6000</v>
      </c>
    </row>
    <row r="335" spans="1:7" x14ac:dyDescent="0.25">
      <c r="A335" s="1">
        <v>144</v>
      </c>
      <c r="B335" s="1">
        <v>1</v>
      </c>
      <c r="C335" s="1" t="s">
        <v>10</v>
      </c>
      <c r="D335" s="1" t="s">
        <v>15</v>
      </c>
      <c r="E335" s="1">
        <v>1</v>
      </c>
      <c r="F335" s="49">
        <v>10000</v>
      </c>
      <c r="G335" s="49">
        <v>10000</v>
      </c>
    </row>
    <row r="336" spans="1:7" x14ac:dyDescent="0.25">
      <c r="A336" s="1">
        <v>145</v>
      </c>
      <c r="B336" s="1">
        <v>1</v>
      </c>
      <c r="C336" s="1" t="s">
        <v>242</v>
      </c>
      <c r="D336" s="1" t="s">
        <v>243</v>
      </c>
      <c r="E336" s="1">
        <v>2</v>
      </c>
      <c r="F336" s="49">
        <v>3000</v>
      </c>
      <c r="G336" s="49">
        <v>6000</v>
      </c>
    </row>
    <row r="337" spans="1:7" ht="30" x14ac:dyDescent="0.25">
      <c r="A337" s="1">
        <v>146</v>
      </c>
      <c r="B337" s="1">
        <v>1</v>
      </c>
      <c r="C337" s="1" t="s">
        <v>113</v>
      </c>
      <c r="D337" s="1" t="s">
        <v>171</v>
      </c>
      <c r="E337" s="1">
        <v>1</v>
      </c>
      <c r="F337" s="49">
        <v>6000</v>
      </c>
      <c r="G337" s="49">
        <v>6000</v>
      </c>
    </row>
    <row r="338" spans="1:7" x14ac:dyDescent="0.25">
      <c r="A338" s="1">
        <v>147</v>
      </c>
      <c r="B338" s="1">
        <v>1</v>
      </c>
      <c r="C338" s="1" t="s">
        <v>127</v>
      </c>
      <c r="D338" s="1" t="s">
        <v>128</v>
      </c>
      <c r="E338" s="1">
        <v>1</v>
      </c>
      <c r="F338" s="49">
        <v>4000</v>
      </c>
      <c r="G338" s="49">
        <v>4000</v>
      </c>
    </row>
    <row r="339" spans="1:7" x14ac:dyDescent="0.25">
      <c r="A339" s="1">
        <v>147</v>
      </c>
      <c r="B339" s="1">
        <v>2</v>
      </c>
      <c r="C339" s="1" t="s">
        <v>21</v>
      </c>
      <c r="D339" s="1" t="s">
        <v>5</v>
      </c>
      <c r="E339" s="1">
        <v>1</v>
      </c>
      <c r="F339" s="49">
        <v>3000</v>
      </c>
      <c r="G339" s="49">
        <v>3000</v>
      </c>
    </row>
    <row r="340" spans="1:7" x14ac:dyDescent="0.25">
      <c r="A340" s="1">
        <v>147</v>
      </c>
      <c r="B340" s="1">
        <v>3</v>
      </c>
      <c r="C340" s="1" t="s">
        <v>158</v>
      </c>
      <c r="D340" s="1" t="s">
        <v>161</v>
      </c>
      <c r="E340" s="1">
        <v>2</v>
      </c>
      <c r="F340" s="49">
        <v>1200</v>
      </c>
      <c r="G340" s="49">
        <v>2400</v>
      </c>
    </row>
    <row r="341" spans="1:7" x14ac:dyDescent="0.25">
      <c r="A341" s="1">
        <v>148</v>
      </c>
      <c r="B341" s="1">
        <v>1</v>
      </c>
      <c r="C341" s="1" t="s">
        <v>22</v>
      </c>
      <c r="D341" s="1" t="s">
        <v>104</v>
      </c>
      <c r="E341" s="1">
        <v>1</v>
      </c>
      <c r="F341" s="49">
        <v>7000</v>
      </c>
      <c r="G341" s="49">
        <v>7000</v>
      </c>
    </row>
    <row r="342" spans="1:7" x14ac:dyDescent="0.25">
      <c r="A342" s="1">
        <v>149</v>
      </c>
      <c r="B342" s="1">
        <v>1</v>
      </c>
      <c r="C342" s="1" t="s">
        <v>22</v>
      </c>
      <c r="D342" s="1" t="s">
        <v>104</v>
      </c>
      <c r="E342" s="1">
        <v>1</v>
      </c>
      <c r="F342" s="49">
        <v>7000</v>
      </c>
      <c r="G342" s="49">
        <v>7000</v>
      </c>
    </row>
    <row r="343" spans="1:7" x14ac:dyDescent="0.25">
      <c r="A343" s="1">
        <v>150</v>
      </c>
      <c r="B343" s="1">
        <v>1</v>
      </c>
      <c r="C343" s="1" t="s">
        <v>110</v>
      </c>
      <c r="D343" s="1" t="s">
        <v>115</v>
      </c>
      <c r="E343" s="1">
        <v>1</v>
      </c>
      <c r="F343" s="49">
        <v>6000</v>
      </c>
      <c r="G343" s="49">
        <v>6000</v>
      </c>
    </row>
    <row r="344" spans="1:7" x14ac:dyDescent="0.25">
      <c r="A344" s="1">
        <v>151</v>
      </c>
      <c r="B344" s="1">
        <v>1</v>
      </c>
      <c r="C344" s="1" t="s">
        <v>110</v>
      </c>
      <c r="D344" s="1" t="s">
        <v>115</v>
      </c>
      <c r="E344" s="1">
        <v>1</v>
      </c>
      <c r="F344" s="49">
        <v>6000</v>
      </c>
      <c r="G344" s="49">
        <v>6000</v>
      </c>
    </row>
    <row r="345" spans="1:7" x14ac:dyDescent="0.25">
      <c r="A345" s="1">
        <v>151</v>
      </c>
      <c r="B345" s="1">
        <v>2</v>
      </c>
      <c r="C345" s="1" t="s">
        <v>28</v>
      </c>
      <c r="D345" s="1" t="s">
        <v>107</v>
      </c>
      <c r="E345" s="1">
        <v>3</v>
      </c>
      <c r="F345" s="49">
        <v>6000</v>
      </c>
      <c r="G345" s="49">
        <v>18000</v>
      </c>
    </row>
    <row r="346" spans="1:7" x14ac:dyDescent="0.25">
      <c r="A346" s="1">
        <v>151</v>
      </c>
      <c r="B346" s="1">
        <v>3</v>
      </c>
      <c r="C346" s="1" t="s">
        <v>65</v>
      </c>
      <c r="D346" s="1" t="s">
        <v>16</v>
      </c>
      <c r="E346" s="1">
        <v>1</v>
      </c>
      <c r="F346" s="49">
        <v>10000</v>
      </c>
      <c r="G346" s="49">
        <v>10000</v>
      </c>
    </row>
    <row r="347" spans="1:7" x14ac:dyDescent="0.25">
      <c r="A347" s="1">
        <v>151</v>
      </c>
      <c r="B347" s="1">
        <v>4</v>
      </c>
      <c r="C347" s="1" t="s">
        <v>25</v>
      </c>
      <c r="D347" s="1" t="s">
        <v>12</v>
      </c>
      <c r="E347" s="1">
        <v>1</v>
      </c>
      <c r="F347" s="49">
        <v>12000</v>
      </c>
      <c r="G347" s="49">
        <v>12000</v>
      </c>
    </row>
    <row r="348" spans="1:7" x14ac:dyDescent="0.25">
      <c r="A348" s="1">
        <v>152</v>
      </c>
      <c r="B348" s="1">
        <v>1</v>
      </c>
      <c r="C348" s="1" t="s">
        <v>110</v>
      </c>
      <c r="D348" s="1" t="s">
        <v>115</v>
      </c>
      <c r="E348" s="1">
        <v>1</v>
      </c>
      <c r="F348" s="49">
        <v>6000</v>
      </c>
      <c r="G348" s="49">
        <v>6000</v>
      </c>
    </row>
    <row r="349" spans="1:7" x14ac:dyDescent="0.25">
      <c r="A349" s="1">
        <v>152</v>
      </c>
      <c r="B349" s="1">
        <v>2</v>
      </c>
      <c r="C349" s="1" t="s">
        <v>10</v>
      </c>
      <c r="D349" s="1" t="s">
        <v>15</v>
      </c>
      <c r="E349" s="1">
        <v>1</v>
      </c>
      <c r="F349" s="49">
        <v>10000</v>
      </c>
      <c r="G349" s="49">
        <v>10000</v>
      </c>
    </row>
    <row r="350" spans="1:7" x14ac:dyDescent="0.25">
      <c r="A350" s="1">
        <v>153</v>
      </c>
      <c r="B350" s="1">
        <v>1</v>
      </c>
      <c r="C350" s="1" t="s">
        <v>21</v>
      </c>
      <c r="D350" s="1" t="s">
        <v>5</v>
      </c>
      <c r="E350" s="1">
        <v>1</v>
      </c>
      <c r="F350" s="49">
        <v>3000</v>
      </c>
      <c r="G350" s="49">
        <v>3000</v>
      </c>
    </row>
    <row r="351" spans="1:7" x14ac:dyDescent="0.25">
      <c r="A351" s="1">
        <v>153</v>
      </c>
      <c r="B351" s="1">
        <v>2</v>
      </c>
      <c r="C351" s="1" t="s">
        <v>28</v>
      </c>
      <c r="D351" s="1" t="s">
        <v>107</v>
      </c>
      <c r="E351" s="1">
        <v>1</v>
      </c>
      <c r="F351" s="49">
        <v>6000</v>
      </c>
      <c r="G351" s="49">
        <v>6000</v>
      </c>
    </row>
    <row r="352" spans="1:7" x14ac:dyDescent="0.25">
      <c r="A352" s="1">
        <v>153</v>
      </c>
      <c r="B352" s="1">
        <v>3</v>
      </c>
      <c r="C352" s="1" t="s">
        <v>10</v>
      </c>
      <c r="D352" s="1" t="s">
        <v>15</v>
      </c>
      <c r="E352" s="1">
        <v>1</v>
      </c>
      <c r="F352" s="49">
        <v>10000</v>
      </c>
      <c r="G352" s="49">
        <v>10000</v>
      </c>
    </row>
    <row r="353" spans="1:7" x14ac:dyDescent="0.25">
      <c r="A353" s="1">
        <v>154</v>
      </c>
      <c r="B353" s="1">
        <v>1</v>
      </c>
      <c r="C353" s="1" t="s">
        <v>110</v>
      </c>
      <c r="D353" s="1" t="s">
        <v>115</v>
      </c>
      <c r="E353" s="1">
        <v>2</v>
      </c>
      <c r="F353" s="49">
        <v>6000</v>
      </c>
      <c r="G353" s="49">
        <v>12000</v>
      </c>
    </row>
    <row r="354" spans="1:7" x14ac:dyDescent="0.25">
      <c r="A354" s="1">
        <v>154</v>
      </c>
      <c r="B354" s="1">
        <v>2</v>
      </c>
      <c r="C354" s="1" t="s">
        <v>28</v>
      </c>
      <c r="D354" s="1" t="s">
        <v>107</v>
      </c>
      <c r="E354" s="1">
        <v>1</v>
      </c>
      <c r="F354" s="49">
        <v>6000</v>
      </c>
      <c r="G354" s="49">
        <v>6000</v>
      </c>
    </row>
    <row r="355" spans="1:7" x14ac:dyDescent="0.25">
      <c r="A355" s="1">
        <v>155</v>
      </c>
      <c r="B355" s="1">
        <v>1</v>
      </c>
      <c r="C355" s="1" t="s">
        <v>65</v>
      </c>
      <c r="D355" s="1" t="s">
        <v>16</v>
      </c>
      <c r="E355" s="1">
        <v>1</v>
      </c>
      <c r="F355" s="49">
        <v>10000</v>
      </c>
      <c r="G355" s="49">
        <v>10000</v>
      </c>
    </row>
    <row r="356" spans="1:7" x14ac:dyDescent="0.25">
      <c r="A356" s="1">
        <v>155</v>
      </c>
      <c r="B356" s="1">
        <v>2</v>
      </c>
      <c r="C356" s="1" t="s">
        <v>10</v>
      </c>
      <c r="D356" s="1" t="s">
        <v>15</v>
      </c>
      <c r="E356" s="1">
        <v>1</v>
      </c>
      <c r="F356" s="49">
        <v>10000</v>
      </c>
      <c r="G356" s="49">
        <v>10000</v>
      </c>
    </row>
    <row r="357" spans="1:7" ht="30" x14ac:dyDescent="0.25">
      <c r="A357" s="1">
        <v>155</v>
      </c>
      <c r="B357" s="1">
        <v>3</v>
      </c>
      <c r="C357" s="1" t="s">
        <v>113</v>
      </c>
      <c r="D357" s="1" t="s">
        <v>171</v>
      </c>
      <c r="E357" s="1">
        <v>1</v>
      </c>
      <c r="F357" s="49">
        <v>6000</v>
      </c>
      <c r="G357" s="49">
        <v>6000</v>
      </c>
    </row>
    <row r="358" spans="1:7" x14ac:dyDescent="0.25">
      <c r="A358" s="1">
        <v>156</v>
      </c>
      <c r="B358" s="1">
        <v>1</v>
      </c>
      <c r="C358" s="1" t="s">
        <v>65</v>
      </c>
      <c r="D358" s="1" t="s">
        <v>16</v>
      </c>
      <c r="E358" s="1">
        <v>2</v>
      </c>
      <c r="F358" s="49">
        <v>10000</v>
      </c>
      <c r="G358" s="49">
        <v>20000</v>
      </c>
    </row>
    <row r="359" spans="1:7" x14ac:dyDescent="0.25">
      <c r="A359" s="1">
        <v>156</v>
      </c>
      <c r="B359" s="1">
        <v>2</v>
      </c>
      <c r="C359" s="1" t="s">
        <v>10</v>
      </c>
      <c r="D359" s="1" t="s">
        <v>15</v>
      </c>
      <c r="E359" s="1">
        <v>1</v>
      </c>
      <c r="F359" s="49">
        <v>10000</v>
      </c>
      <c r="G359" s="49">
        <v>10000</v>
      </c>
    </row>
    <row r="360" spans="1:7" x14ac:dyDescent="0.25">
      <c r="A360" s="1">
        <v>156</v>
      </c>
      <c r="B360" s="1">
        <v>3</v>
      </c>
      <c r="C360" s="1" t="s">
        <v>28</v>
      </c>
      <c r="D360" s="1" t="s">
        <v>107</v>
      </c>
      <c r="E360" s="1">
        <v>1</v>
      </c>
      <c r="F360" s="49">
        <v>6000</v>
      </c>
      <c r="G360" s="49">
        <v>6000</v>
      </c>
    </row>
    <row r="361" spans="1:7" x14ac:dyDescent="0.25">
      <c r="A361" s="1">
        <v>157</v>
      </c>
      <c r="B361" s="1">
        <v>1</v>
      </c>
      <c r="C361" s="1" t="s">
        <v>65</v>
      </c>
      <c r="D361" s="1" t="s">
        <v>16</v>
      </c>
      <c r="E361" s="1">
        <v>1</v>
      </c>
      <c r="F361" s="49">
        <v>10000</v>
      </c>
      <c r="G361" s="49">
        <v>10000</v>
      </c>
    </row>
    <row r="362" spans="1:7" x14ac:dyDescent="0.25">
      <c r="A362" s="1">
        <v>157</v>
      </c>
      <c r="B362" s="1">
        <v>2</v>
      </c>
      <c r="C362" s="1" t="s">
        <v>10</v>
      </c>
      <c r="D362" s="1" t="s">
        <v>15</v>
      </c>
      <c r="E362" s="1">
        <v>1</v>
      </c>
      <c r="F362" s="49">
        <v>10000</v>
      </c>
      <c r="G362" s="49">
        <v>10000</v>
      </c>
    </row>
    <row r="363" spans="1:7" x14ac:dyDescent="0.25">
      <c r="A363" s="1">
        <v>157</v>
      </c>
      <c r="B363" s="1">
        <v>3</v>
      </c>
      <c r="C363" s="1" t="s">
        <v>28</v>
      </c>
      <c r="D363" s="1" t="s">
        <v>107</v>
      </c>
      <c r="E363" s="1">
        <v>1</v>
      </c>
      <c r="F363" s="49">
        <v>6000</v>
      </c>
      <c r="G363" s="49">
        <v>6000</v>
      </c>
    </row>
    <row r="364" spans="1:7" x14ac:dyDescent="0.25">
      <c r="A364" s="1">
        <v>157</v>
      </c>
      <c r="B364" s="1">
        <v>4</v>
      </c>
      <c r="C364" s="1" t="s">
        <v>301</v>
      </c>
      <c r="D364" s="1" t="s">
        <v>191</v>
      </c>
      <c r="E364" s="1">
        <v>1</v>
      </c>
      <c r="F364" s="49">
        <v>3000</v>
      </c>
      <c r="G364" s="49">
        <v>3000</v>
      </c>
    </row>
    <row r="365" spans="1:7" x14ac:dyDescent="0.25">
      <c r="A365" s="1">
        <v>157</v>
      </c>
      <c r="B365" s="1">
        <v>5</v>
      </c>
      <c r="C365" s="1" t="s">
        <v>32</v>
      </c>
      <c r="D365" s="1" t="s">
        <v>9</v>
      </c>
      <c r="E365" s="1">
        <v>1</v>
      </c>
      <c r="F365" s="49">
        <v>9000</v>
      </c>
      <c r="G365" s="49">
        <v>18000</v>
      </c>
    </row>
    <row r="366" spans="1:7" x14ac:dyDescent="0.25">
      <c r="A366" s="1">
        <v>158</v>
      </c>
      <c r="B366" s="1">
        <v>1</v>
      </c>
      <c r="C366" s="1" t="s">
        <v>158</v>
      </c>
      <c r="D366" s="1" t="s">
        <v>161</v>
      </c>
      <c r="E366" s="1">
        <v>2</v>
      </c>
      <c r="F366" s="49">
        <v>1200</v>
      </c>
      <c r="G366" s="49">
        <v>2400</v>
      </c>
    </row>
    <row r="367" spans="1:7" x14ac:dyDescent="0.25">
      <c r="A367" s="1">
        <v>158</v>
      </c>
      <c r="B367" s="1">
        <v>2</v>
      </c>
      <c r="C367" s="1" t="s">
        <v>28</v>
      </c>
      <c r="D367" s="1" t="s">
        <v>107</v>
      </c>
      <c r="E367" s="1">
        <v>2</v>
      </c>
      <c r="F367" s="49">
        <v>6000</v>
      </c>
      <c r="G367" s="49">
        <v>12000</v>
      </c>
    </row>
    <row r="368" spans="1:7" x14ac:dyDescent="0.25">
      <c r="A368" s="1">
        <v>158</v>
      </c>
      <c r="B368" s="1">
        <v>3</v>
      </c>
      <c r="C368" s="1" t="s">
        <v>65</v>
      </c>
      <c r="D368" s="1" t="s">
        <v>16</v>
      </c>
      <c r="E368" s="1">
        <v>1</v>
      </c>
      <c r="F368" s="49">
        <v>10000</v>
      </c>
      <c r="G368" s="49">
        <v>10000</v>
      </c>
    </row>
    <row r="369" spans="1:7" x14ac:dyDescent="0.25">
      <c r="A369" s="1">
        <v>159</v>
      </c>
      <c r="B369" s="1">
        <v>1</v>
      </c>
      <c r="C369" s="1" t="s">
        <v>110</v>
      </c>
      <c r="D369" s="1" t="s">
        <v>115</v>
      </c>
      <c r="E369" s="1">
        <v>1</v>
      </c>
      <c r="F369" s="49">
        <v>6000</v>
      </c>
      <c r="G369" s="49">
        <v>6000</v>
      </c>
    </row>
    <row r="370" spans="1:7" x14ac:dyDescent="0.25">
      <c r="A370" s="1">
        <v>159</v>
      </c>
      <c r="B370" s="1">
        <v>2</v>
      </c>
      <c r="C370" s="1" t="s">
        <v>186</v>
      </c>
      <c r="D370" s="1" t="s">
        <v>187</v>
      </c>
      <c r="E370" s="1">
        <v>1</v>
      </c>
      <c r="F370" s="49">
        <v>3000</v>
      </c>
      <c r="G370" s="49">
        <v>3000</v>
      </c>
    </row>
    <row r="371" spans="1:7" x14ac:dyDescent="0.25">
      <c r="A371" s="1">
        <v>159</v>
      </c>
      <c r="B371" s="1">
        <v>3</v>
      </c>
      <c r="C371" s="1" t="s">
        <v>244</v>
      </c>
      <c r="D371" s="1" t="s">
        <v>245</v>
      </c>
      <c r="E371" s="1">
        <v>1</v>
      </c>
      <c r="F371" s="49">
        <v>7000</v>
      </c>
      <c r="G371" s="49">
        <v>7000</v>
      </c>
    </row>
    <row r="372" spans="1:7" x14ac:dyDescent="0.25">
      <c r="A372" s="1">
        <v>159</v>
      </c>
      <c r="B372" s="1">
        <v>4</v>
      </c>
      <c r="C372" s="1" t="s">
        <v>65</v>
      </c>
      <c r="D372" s="1" t="s">
        <v>16</v>
      </c>
      <c r="E372" s="1">
        <v>1</v>
      </c>
      <c r="F372" s="49">
        <v>10000</v>
      </c>
      <c r="G372" s="49">
        <v>10000</v>
      </c>
    </row>
    <row r="373" spans="1:7" x14ac:dyDescent="0.25">
      <c r="A373" s="1">
        <v>160</v>
      </c>
      <c r="B373" s="1">
        <v>1</v>
      </c>
      <c r="C373" s="1" t="s">
        <v>28</v>
      </c>
      <c r="D373" s="1" t="s">
        <v>107</v>
      </c>
      <c r="E373" s="1">
        <v>3</v>
      </c>
      <c r="F373" s="49">
        <v>6000</v>
      </c>
      <c r="G373" s="49">
        <v>18000</v>
      </c>
    </row>
    <row r="374" spans="1:7" x14ac:dyDescent="0.25">
      <c r="A374" s="1">
        <v>160</v>
      </c>
      <c r="B374" s="1">
        <v>2</v>
      </c>
      <c r="C374" s="1" t="s">
        <v>65</v>
      </c>
      <c r="D374" s="1" t="s">
        <v>16</v>
      </c>
      <c r="E374" s="1">
        <v>1</v>
      </c>
      <c r="F374" s="49">
        <v>10000</v>
      </c>
      <c r="G374" s="49">
        <v>10000</v>
      </c>
    </row>
    <row r="375" spans="1:7" x14ac:dyDescent="0.25">
      <c r="A375" s="1">
        <v>160</v>
      </c>
      <c r="B375" s="1">
        <v>3</v>
      </c>
      <c r="C375" s="1" t="s">
        <v>10</v>
      </c>
      <c r="D375" s="1" t="s">
        <v>15</v>
      </c>
      <c r="E375" s="1">
        <v>1</v>
      </c>
      <c r="F375" s="49">
        <v>10000</v>
      </c>
      <c r="G375" s="49">
        <v>10000</v>
      </c>
    </row>
    <row r="376" spans="1:7" x14ac:dyDescent="0.25">
      <c r="A376" s="1">
        <v>160</v>
      </c>
      <c r="B376" s="1">
        <v>4</v>
      </c>
      <c r="C376" s="1" t="s">
        <v>21</v>
      </c>
      <c r="D376" s="1" t="s">
        <v>5</v>
      </c>
      <c r="E376" s="1">
        <v>3</v>
      </c>
      <c r="F376" s="49">
        <v>3000</v>
      </c>
      <c r="G376" s="49">
        <v>9000</v>
      </c>
    </row>
    <row r="377" spans="1:7" x14ac:dyDescent="0.25">
      <c r="A377" s="1">
        <v>160</v>
      </c>
      <c r="B377" s="1">
        <v>5</v>
      </c>
      <c r="C377" s="1" t="s">
        <v>23</v>
      </c>
      <c r="D377" s="1" t="s">
        <v>13</v>
      </c>
      <c r="E377" s="1">
        <v>1</v>
      </c>
      <c r="F377" s="49">
        <v>9000</v>
      </c>
      <c r="G377" s="49">
        <v>9000</v>
      </c>
    </row>
    <row r="378" spans="1:7" x14ac:dyDescent="0.25">
      <c r="A378" s="1">
        <v>161</v>
      </c>
      <c r="B378" s="1">
        <v>1</v>
      </c>
      <c r="C378" s="1" t="s">
        <v>65</v>
      </c>
      <c r="D378" s="1" t="s">
        <v>16</v>
      </c>
      <c r="E378" s="1">
        <v>1</v>
      </c>
      <c r="F378" s="49">
        <v>10000</v>
      </c>
      <c r="G378" s="49">
        <v>10000</v>
      </c>
    </row>
    <row r="379" spans="1:7" x14ac:dyDescent="0.25">
      <c r="A379" s="1">
        <v>162</v>
      </c>
      <c r="B379" s="1">
        <v>1</v>
      </c>
      <c r="C379" s="1" t="s">
        <v>10</v>
      </c>
      <c r="D379" s="1" t="s">
        <v>15</v>
      </c>
      <c r="E379" s="1">
        <v>1</v>
      </c>
      <c r="F379" s="49">
        <v>10000</v>
      </c>
      <c r="G379" s="49">
        <v>10000</v>
      </c>
    </row>
    <row r="380" spans="1:7" ht="30" x14ac:dyDescent="0.25">
      <c r="A380" s="1">
        <v>162</v>
      </c>
      <c r="B380" s="1">
        <v>2</v>
      </c>
      <c r="C380" s="1" t="s">
        <v>113</v>
      </c>
      <c r="D380" s="1" t="s">
        <v>171</v>
      </c>
      <c r="E380" s="1">
        <v>1</v>
      </c>
      <c r="F380" s="49">
        <v>6000</v>
      </c>
      <c r="G380" s="49">
        <v>6000</v>
      </c>
    </row>
    <row r="381" spans="1:7" x14ac:dyDescent="0.25">
      <c r="A381" s="1">
        <v>162</v>
      </c>
      <c r="B381" s="1">
        <v>3</v>
      </c>
      <c r="C381" s="1" t="s">
        <v>65</v>
      </c>
      <c r="D381" s="1" t="s">
        <v>16</v>
      </c>
      <c r="E381" s="1">
        <v>1</v>
      </c>
      <c r="F381" s="49">
        <v>10000</v>
      </c>
      <c r="G381" s="49">
        <v>10000</v>
      </c>
    </row>
    <row r="382" spans="1:7" x14ac:dyDescent="0.25">
      <c r="A382" s="1">
        <v>163</v>
      </c>
      <c r="B382" s="1">
        <v>1</v>
      </c>
      <c r="C382" s="1" t="s">
        <v>28</v>
      </c>
      <c r="D382" s="1" t="s">
        <v>107</v>
      </c>
      <c r="E382" s="1">
        <v>2</v>
      </c>
      <c r="F382" s="49">
        <v>6000</v>
      </c>
      <c r="G382" s="49">
        <v>12000</v>
      </c>
    </row>
    <row r="383" spans="1:7" x14ac:dyDescent="0.25">
      <c r="A383" s="1">
        <v>163</v>
      </c>
      <c r="B383" s="1">
        <v>2</v>
      </c>
      <c r="C383" s="1" t="s">
        <v>10</v>
      </c>
      <c r="D383" s="1" t="s">
        <v>15</v>
      </c>
      <c r="E383" s="1">
        <v>2</v>
      </c>
      <c r="F383" s="49">
        <v>10000</v>
      </c>
      <c r="G383" s="49">
        <v>20000</v>
      </c>
    </row>
    <row r="384" spans="1:7" x14ac:dyDescent="0.25">
      <c r="A384" s="1">
        <v>163</v>
      </c>
      <c r="B384" s="1">
        <v>3</v>
      </c>
      <c r="C384" s="1" t="s">
        <v>110</v>
      </c>
      <c r="D384" s="1" t="s">
        <v>115</v>
      </c>
      <c r="E384" s="1">
        <v>1</v>
      </c>
      <c r="F384" s="49">
        <v>6000</v>
      </c>
      <c r="G384" s="49">
        <v>6000</v>
      </c>
    </row>
    <row r="385" spans="1:7" x14ac:dyDescent="0.25">
      <c r="A385" s="1">
        <v>164</v>
      </c>
      <c r="B385" s="1">
        <v>1</v>
      </c>
      <c r="C385" s="1" t="s">
        <v>22</v>
      </c>
      <c r="D385" s="1" t="s">
        <v>104</v>
      </c>
      <c r="E385" s="1">
        <v>2</v>
      </c>
      <c r="F385" s="49">
        <v>7000</v>
      </c>
      <c r="G385" s="49">
        <v>14000</v>
      </c>
    </row>
    <row r="386" spans="1:7" x14ac:dyDescent="0.25">
      <c r="A386" s="1">
        <v>165</v>
      </c>
      <c r="B386" s="1">
        <v>1</v>
      </c>
      <c r="C386" s="1" t="s">
        <v>182</v>
      </c>
      <c r="D386" s="1" t="s">
        <v>183</v>
      </c>
      <c r="E386" s="1">
        <v>3</v>
      </c>
      <c r="F386" s="49">
        <v>9000</v>
      </c>
      <c r="G386" s="49">
        <v>27000</v>
      </c>
    </row>
    <row r="387" spans="1:7" x14ac:dyDescent="0.25">
      <c r="A387" s="1">
        <v>166</v>
      </c>
      <c r="B387" s="1">
        <v>1</v>
      </c>
      <c r="C387" s="1" t="s">
        <v>130</v>
      </c>
      <c r="D387" s="1" t="s">
        <v>132</v>
      </c>
      <c r="E387" s="1">
        <v>1</v>
      </c>
      <c r="F387" s="49">
        <v>12000</v>
      </c>
      <c r="G387" s="49">
        <v>12000</v>
      </c>
    </row>
    <row r="388" spans="1:7" x14ac:dyDescent="0.25">
      <c r="A388" s="1">
        <v>167</v>
      </c>
      <c r="B388" s="1">
        <v>1</v>
      </c>
      <c r="C388" s="1" t="s">
        <v>182</v>
      </c>
      <c r="D388" s="1" t="s">
        <v>183</v>
      </c>
      <c r="E388" s="1">
        <v>1</v>
      </c>
      <c r="F388" s="49">
        <v>9000</v>
      </c>
      <c r="G388" s="49">
        <v>9000</v>
      </c>
    </row>
    <row r="389" spans="1:7" x14ac:dyDescent="0.25">
      <c r="A389" s="1">
        <v>168</v>
      </c>
      <c r="B389" s="1">
        <v>1</v>
      </c>
      <c r="C389" s="1" t="s">
        <v>28</v>
      </c>
      <c r="D389" s="1" t="s">
        <v>107</v>
      </c>
      <c r="E389" s="1">
        <v>6</v>
      </c>
      <c r="F389" s="49">
        <v>6000</v>
      </c>
      <c r="G389" s="49">
        <v>36000</v>
      </c>
    </row>
    <row r="390" spans="1:7" x14ac:dyDescent="0.25">
      <c r="A390" s="1">
        <v>169</v>
      </c>
      <c r="B390" s="1">
        <v>1</v>
      </c>
      <c r="C390" s="1" t="s">
        <v>10</v>
      </c>
      <c r="D390" s="1" t="s">
        <v>15</v>
      </c>
      <c r="E390" s="1">
        <v>1</v>
      </c>
      <c r="F390" s="49">
        <v>10000</v>
      </c>
      <c r="G390" s="49">
        <v>10000</v>
      </c>
    </row>
    <row r="391" spans="1:7" x14ac:dyDescent="0.25">
      <c r="A391" s="1">
        <v>170</v>
      </c>
      <c r="B391" s="1">
        <v>1</v>
      </c>
      <c r="C391" s="1" t="s">
        <v>28</v>
      </c>
      <c r="D391" s="1" t="s">
        <v>107</v>
      </c>
      <c r="E391" s="1">
        <v>1</v>
      </c>
      <c r="F391" s="49">
        <v>6000</v>
      </c>
      <c r="G391" s="49">
        <v>6000</v>
      </c>
    </row>
    <row r="392" spans="1:7" x14ac:dyDescent="0.25">
      <c r="A392" s="1">
        <v>170</v>
      </c>
      <c r="B392" s="1">
        <v>2</v>
      </c>
      <c r="C392" s="1" t="s">
        <v>33</v>
      </c>
      <c r="D392" s="1" t="s">
        <v>17</v>
      </c>
      <c r="E392" s="1">
        <v>1</v>
      </c>
      <c r="F392" s="49">
        <v>5000</v>
      </c>
      <c r="G392" s="49">
        <v>5000</v>
      </c>
    </row>
    <row r="393" spans="1:7" x14ac:dyDescent="0.25">
      <c r="A393" s="1">
        <v>171</v>
      </c>
      <c r="B393" s="1">
        <v>1</v>
      </c>
      <c r="C393" s="1" t="s">
        <v>28</v>
      </c>
      <c r="D393" s="1" t="s">
        <v>107</v>
      </c>
      <c r="E393" s="1">
        <v>6</v>
      </c>
      <c r="F393" s="49">
        <v>6000</v>
      </c>
      <c r="G393" s="49">
        <v>36000</v>
      </c>
    </row>
    <row r="394" spans="1:7" x14ac:dyDescent="0.25">
      <c r="A394" s="1">
        <v>171</v>
      </c>
      <c r="B394" s="1">
        <v>2</v>
      </c>
      <c r="C394" s="1" t="s">
        <v>158</v>
      </c>
      <c r="D394" s="1" t="s">
        <v>161</v>
      </c>
      <c r="E394" s="1">
        <v>2</v>
      </c>
      <c r="F394" s="49">
        <v>1200</v>
      </c>
      <c r="G394" s="49">
        <v>2400</v>
      </c>
    </row>
    <row r="395" spans="1:7" x14ac:dyDescent="0.25">
      <c r="A395" s="1">
        <v>172</v>
      </c>
      <c r="B395" s="1">
        <v>1</v>
      </c>
      <c r="C395" s="1" t="s">
        <v>22</v>
      </c>
      <c r="D395" s="1" t="s">
        <v>104</v>
      </c>
      <c r="E395" s="1">
        <v>2</v>
      </c>
      <c r="F395" s="49">
        <v>7000</v>
      </c>
      <c r="G395" s="49">
        <v>14000</v>
      </c>
    </row>
    <row r="396" spans="1:7" x14ac:dyDescent="0.25">
      <c r="A396" s="1">
        <v>172</v>
      </c>
      <c r="B396" s="1">
        <v>2</v>
      </c>
      <c r="C396" s="1" t="s">
        <v>110</v>
      </c>
      <c r="D396" s="1" t="s">
        <v>115</v>
      </c>
      <c r="E396" s="1">
        <v>1</v>
      </c>
      <c r="F396" s="49">
        <v>6000</v>
      </c>
      <c r="G396" s="49">
        <v>6000</v>
      </c>
    </row>
    <row r="397" spans="1:7" x14ac:dyDescent="0.25">
      <c r="A397" s="1">
        <v>172</v>
      </c>
      <c r="B397" s="1">
        <v>3</v>
      </c>
      <c r="C397" s="1" t="s">
        <v>65</v>
      </c>
      <c r="D397" s="1" t="s">
        <v>16</v>
      </c>
      <c r="E397" s="1">
        <v>1</v>
      </c>
      <c r="F397" s="49">
        <v>10000</v>
      </c>
      <c r="G397" s="49">
        <v>10000</v>
      </c>
    </row>
    <row r="398" spans="1:7" x14ac:dyDescent="0.25">
      <c r="A398" s="1">
        <v>173</v>
      </c>
      <c r="B398" s="1">
        <v>1</v>
      </c>
      <c r="C398" s="1" t="s">
        <v>22</v>
      </c>
      <c r="D398" s="1" t="s">
        <v>104</v>
      </c>
      <c r="E398" s="1">
        <v>2</v>
      </c>
      <c r="F398" s="49">
        <v>7000</v>
      </c>
      <c r="G398" s="49">
        <v>14000</v>
      </c>
    </row>
    <row r="399" spans="1:7" x14ac:dyDescent="0.25">
      <c r="A399" s="1">
        <v>174</v>
      </c>
      <c r="B399" s="1">
        <v>1</v>
      </c>
      <c r="C399" s="1" t="s">
        <v>28</v>
      </c>
      <c r="D399" s="1" t="s">
        <v>107</v>
      </c>
      <c r="E399" s="1">
        <v>1</v>
      </c>
      <c r="F399" s="49">
        <v>6000</v>
      </c>
      <c r="G399" s="49">
        <v>6000</v>
      </c>
    </row>
    <row r="400" spans="1:7" x14ac:dyDescent="0.25">
      <c r="A400" s="1">
        <v>174</v>
      </c>
      <c r="B400" s="1">
        <v>2</v>
      </c>
      <c r="C400" s="1" t="s">
        <v>130</v>
      </c>
      <c r="D400" s="1" t="s">
        <v>132</v>
      </c>
      <c r="E400" s="1">
        <v>2</v>
      </c>
      <c r="F400" s="49">
        <v>12000</v>
      </c>
      <c r="G400" s="49">
        <v>24000</v>
      </c>
    </row>
    <row r="401" spans="1:7" x14ac:dyDescent="0.25">
      <c r="A401" s="1">
        <v>174</v>
      </c>
      <c r="B401" s="1">
        <v>3</v>
      </c>
      <c r="C401" s="1" t="s">
        <v>186</v>
      </c>
      <c r="D401" s="1" t="s">
        <v>187</v>
      </c>
      <c r="E401" s="1">
        <v>1</v>
      </c>
      <c r="F401" s="49">
        <v>3000</v>
      </c>
      <c r="G401" s="49">
        <v>3000</v>
      </c>
    </row>
    <row r="402" spans="1:7" x14ac:dyDescent="0.25">
      <c r="A402" s="1">
        <v>174</v>
      </c>
      <c r="B402" s="1">
        <v>4</v>
      </c>
      <c r="C402" s="1" t="s">
        <v>10</v>
      </c>
      <c r="D402" s="1" t="s">
        <v>15</v>
      </c>
      <c r="E402" s="1">
        <v>1</v>
      </c>
      <c r="F402" s="49">
        <v>10000</v>
      </c>
      <c r="G402" s="49">
        <v>10000</v>
      </c>
    </row>
    <row r="403" spans="1:7" x14ac:dyDescent="0.25">
      <c r="A403" s="1">
        <v>175</v>
      </c>
      <c r="B403" s="1">
        <v>1</v>
      </c>
      <c r="C403" s="1" t="s">
        <v>28</v>
      </c>
      <c r="D403" s="1" t="s">
        <v>107</v>
      </c>
      <c r="E403" s="1">
        <v>5</v>
      </c>
      <c r="F403" s="49">
        <v>6000</v>
      </c>
      <c r="G403" s="49">
        <v>30000</v>
      </c>
    </row>
    <row r="404" spans="1:7" x14ac:dyDescent="0.25">
      <c r="A404" s="1">
        <v>176</v>
      </c>
      <c r="B404" s="1">
        <v>1</v>
      </c>
      <c r="C404" s="1" t="s">
        <v>28</v>
      </c>
      <c r="D404" s="1" t="s">
        <v>107</v>
      </c>
      <c r="E404" s="1">
        <v>1</v>
      </c>
      <c r="F404" s="49">
        <v>6000</v>
      </c>
      <c r="G404" s="49">
        <v>6000</v>
      </c>
    </row>
    <row r="405" spans="1:7" x14ac:dyDescent="0.25">
      <c r="A405" s="1">
        <v>176</v>
      </c>
      <c r="B405" s="1">
        <v>2</v>
      </c>
      <c r="C405" s="1" t="s">
        <v>158</v>
      </c>
      <c r="D405" s="1" t="s">
        <v>159</v>
      </c>
      <c r="E405" s="1">
        <v>2</v>
      </c>
      <c r="F405" s="49">
        <v>1400</v>
      </c>
      <c r="G405" s="49">
        <v>2800</v>
      </c>
    </row>
    <row r="406" spans="1:7" x14ac:dyDescent="0.25">
      <c r="A406" s="1">
        <v>176</v>
      </c>
      <c r="B406" s="1">
        <v>3</v>
      </c>
      <c r="C406" s="1" t="s">
        <v>10</v>
      </c>
      <c r="D406" s="1" t="s">
        <v>15</v>
      </c>
      <c r="E406" s="1">
        <v>1</v>
      </c>
      <c r="F406" s="49">
        <v>10000</v>
      </c>
      <c r="G406" s="49">
        <v>10000</v>
      </c>
    </row>
    <row r="407" spans="1:7" ht="30" x14ac:dyDescent="0.25">
      <c r="A407" s="1">
        <v>177</v>
      </c>
      <c r="B407" s="1">
        <v>1</v>
      </c>
      <c r="C407" s="1" t="s">
        <v>113</v>
      </c>
      <c r="D407" s="1" t="s">
        <v>171</v>
      </c>
      <c r="E407" s="1">
        <v>1</v>
      </c>
      <c r="F407" s="49">
        <v>6000</v>
      </c>
      <c r="G407" s="49">
        <v>6000</v>
      </c>
    </row>
    <row r="408" spans="1:7" x14ac:dyDescent="0.25">
      <c r="A408" s="1">
        <v>178</v>
      </c>
      <c r="B408" s="1">
        <v>1</v>
      </c>
      <c r="C408" s="1" t="s">
        <v>190</v>
      </c>
      <c r="D408" s="1" t="s">
        <v>184</v>
      </c>
      <c r="E408" s="1">
        <v>1</v>
      </c>
      <c r="F408" s="49">
        <v>6000</v>
      </c>
      <c r="G408" s="49">
        <v>6000</v>
      </c>
    </row>
    <row r="409" spans="1:7" x14ac:dyDescent="0.25">
      <c r="A409" s="1">
        <v>179</v>
      </c>
      <c r="B409" s="1">
        <v>1</v>
      </c>
      <c r="C409" s="1" t="s">
        <v>110</v>
      </c>
      <c r="D409" s="1" t="s">
        <v>115</v>
      </c>
      <c r="E409" s="1">
        <v>2</v>
      </c>
      <c r="F409" s="49">
        <v>6000</v>
      </c>
      <c r="G409" s="49">
        <v>12000</v>
      </c>
    </row>
    <row r="410" spans="1:7" x14ac:dyDescent="0.25">
      <c r="A410" s="1">
        <v>180</v>
      </c>
      <c r="B410" s="1">
        <v>1</v>
      </c>
      <c r="C410" s="1" t="s">
        <v>28</v>
      </c>
      <c r="D410" s="1" t="s">
        <v>107</v>
      </c>
      <c r="E410" s="1">
        <v>1</v>
      </c>
      <c r="F410" s="49">
        <v>6000</v>
      </c>
      <c r="G410" s="49">
        <v>6000</v>
      </c>
    </row>
    <row r="411" spans="1:7" x14ac:dyDescent="0.25">
      <c r="A411" s="1">
        <v>180</v>
      </c>
      <c r="B411" s="1">
        <v>2</v>
      </c>
      <c r="C411" s="1" t="s">
        <v>242</v>
      </c>
      <c r="D411" s="1" t="s">
        <v>243</v>
      </c>
      <c r="E411" s="1">
        <v>1</v>
      </c>
      <c r="F411" s="49">
        <v>3000</v>
      </c>
      <c r="G411" s="49">
        <v>3000</v>
      </c>
    </row>
    <row r="412" spans="1:7" x14ac:dyDescent="0.25">
      <c r="A412" s="1">
        <v>181</v>
      </c>
      <c r="B412" s="1">
        <v>1</v>
      </c>
      <c r="C412" s="1" t="s">
        <v>22</v>
      </c>
      <c r="D412" s="1" t="s">
        <v>104</v>
      </c>
      <c r="E412" s="1">
        <v>1</v>
      </c>
      <c r="F412" s="49">
        <v>7000</v>
      </c>
      <c r="G412" s="49">
        <v>7000</v>
      </c>
    </row>
    <row r="413" spans="1:7" x14ac:dyDescent="0.25">
      <c r="A413" s="1">
        <v>181</v>
      </c>
      <c r="B413" s="1">
        <v>2</v>
      </c>
      <c r="C413" s="1" t="s">
        <v>10</v>
      </c>
      <c r="D413" s="1" t="s">
        <v>15</v>
      </c>
      <c r="E413" s="1">
        <v>2</v>
      </c>
      <c r="F413" s="49">
        <v>10000</v>
      </c>
      <c r="G413" s="49">
        <v>20000</v>
      </c>
    </row>
    <row r="414" spans="1:7" x14ac:dyDescent="0.25">
      <c r="A414" s="1">
        <v>182</v>
      </c>
      <c r="B414" s="1">
        <v>1</v>
      </c>
      <c r="C414" s="1" t="s">
        <v>28</v>
      </c>
      <c r="D414" s="1" t="s">
        <v>107</v>
      </c>
      <c r="E414" s="1">
        <v>2</v>
      </c>
      <c r="F414" s="49">
        <v>6000</v>
      </c>
      <c r="G414" s="49">
        <v>12000</v>
      </c>
    </row>
    <row r="415" spans="1:7" x14ac:dyDescent="0.25">
      <c r="A415" s="1">
        <v>183</v>
      </c>
      <c r="B415" s="1">
        <v>1</v>
      </c>
      <c r="C415" s="1" t="s">
        <v>21</v>
      </c>
      <c r="D415" s="1" t="s">
        <v>5</v>
      </c>
      <c r="E415" s="1">
        <v>1</v>
      </c>
      <c r="F415" s="49">
        <v>3000</v>
      </c>
      <c r="G415" s="49">
        <v>3000</v>
      </c>
    </row>
    <row r="416" spans="1:7" x14ac:dyDescent="0.25">
      <c r="A416" s="1">
        <v>183</v>
      </c>
      <c r="B416" s="1">
        <v>2</v>
      </c>
      <c r="C416" s="1" t="s">
        <v>182</v>
      </c>
      <c r="D416" s="1" t="s">
        <v>183</v>
      </c>
      <c r="E416" s="1">
        <v>3</v>
      </c>
      <c r="F416" s="49">
        <v>9000</v>
      </c>
      <c r="G416" s="49">
        <v>27000</v>
      </c>
    </row>
    <row r="417" spans="1:7" x14ac:dyDescent="0.25">
      <c r="A417" s="1">
        <v>183</v>
      </c>
      <c r="B417" s="1">
        <v>3</v>
      </c>
      <c r="C417" s="1" t="s">
        <v>240</v>
      </c>
      <c r="D417" s="1" t="s">
        <v>248</v>
      </c>
      <c r="E417" s="1">
        <v>3</v>
      </c>
      <c r="F417" s="49">
        <v>8000</v>
      </c>
      <c r="G417" s="49">
        <v>24000</v>
      </c>
    </row>
    <row r="418" spans="1:7" x14ac:dyDescent="0.25">
      <c r="A418" s="1">
        <v>184</v>
      </c>
      <c r="B418" s="1">
        <v>1</v>
      </c>
      <c r="C418" s="1" t="s">
        <v>21</v>
      </c>
      <c r="D418" s="1" t="s">
        <v>5</v>
      </c>
      <c r="E418" s="1">
        <v>1</v>
      </c>
      <c r="F418" s="49">
        <v>3000</v>
      </c>
      <c r="G418" s="49">
        <v>3000</v>
      </c>
    </row>
    <row r="419" spans="1:7" x14ac:dyDescent="0.25">
      <c r="A419" s="1">
        <v>184</v>
      </c>
      <c r="B419" s="1">
        <v>2</v>
      </c>
      <c r="C419" s="1" t="s">
        <v>240</v>
      </c>
      <c r="D419" s="1" t="s">
        <v>248</v>
      </c>
      <c r="E419" s="1">
        <v>1</v>
      </c>
      <c r="F419" s="49">
        <v>8000</v>
      </c>
      <c r="G419" s="49">
        <v>8000</v>
      </c>
    </row>
    <row r="420" spans="1:7" x14ac:dyDescent="0.25">
      <c r="A420" s="1">
        <v>184</v>
      </c>
      <c r="B420" s="1">
        <v>3</v>
      </c>
      <c r="C420" s="1" t="s">
        <v>31</v>
      </c>
      <c r="D420" s="1" t="s">
        <v>109</v>
      </c>
      <c r="E420" s="1">
        <v>1</v>
      </c>
      <c r="F420" s="49">
        <v>6000</v>
      </c>
      <c r="G420" s="49">
        <v>6000</v>
      </c>
    </row>
    <row r="421" spans="1:7" x14ac:dyDescent="0.25">
      <c r="A421" s="1">
        <v>184</v>
      </c>
      <c r="B421" s="1">
        <v>4</v>
      </c>
      <c r="C421" s="1" t="s">
        <v>301</v>
      </c>
      <c r="D421" s="1" t="s">
        <v>191</v>
      </c>
      <c r="E421" s="1">
        <v>1</v>
      </c>
      <c r="F421" s="49">
        <v>3000</v>
      </c>
      <c r="G421" s="49">
        <v>3000</v>
      </c>
    </row>
    <row r="422" spans="1:7" x14ac:dyDescent="0.25">
      <c r="A422" s="1">
        <v>185</v>
      </c>
      <c r="B422" s="1">
        <v>1</v>
      </c>
      <c r="C422" s="1" t="s">
        <v>110</v>
      </c>
      <c r="D422" s="1" t="s">
        <v>115</v>
      </c>
      <c r="E422" s="1">
        <v>1</v>
      </c>
      <c r="F422" s="49">
        <v>6000</v>
      </c>
      <c r="G422" s="49">
        <v>6000</v>
      </c>
    </row>
    <row r="423" spans="1:7" x14ac:dyDescent="0.25">
      <c r="A423" s="1">
        <v>185</v>
      </c>
      <c r="B423" s="1">
        <v>2</v>
      </c>
      <c r="C423" s="1" t="s">
        <v>10</v>
      </c>
      <c r="D423" s="1" t="s">
        <v>15</v>
      </c>
      <c r="E423" s="1">
        <v>1</v>
      </c>
      <c r="F423" s="49">
        <v>10000</v>
      </c>
      <c r="G423" s="49">
        <v>10000</v>
      </c>
    </row>
    <row r="424" spans="1:7" ht="30" x14ac:dyDescent="0.25">
      <c r="A424" s="1">
        <v>186</v>
      </c>
      <c r="B424" s="1">
        <v>1</v>
      </c>
      <c r="C424" s="1" t="s">
        <v>113</v>
      </c>
      <c r="D424" s="1" t="s">
        <v>171</v>
      </c>
      <c r="E424" s="1">
        <v>1</v>
      </c>
      <c r="F424" s="49">
        <v>6000</v>
      </c>
      <c r="G424" s="49">
        <v>6000</v>
      </c>
    </row>
    <row r="425" spans="1:7" x14ac:dyDescent="0.25">
      <c r="A425" s="1">
        <v>186</v>
      </c>
      <c r="B425" s="1">
        <v>2</v>
      </c>
      <c r="C425" s="1" t="s">
        <v>65</v>
      </c>
      <c r="D425" s="1" t="s">
        <v>16</v>
      </c>
      <c r="E425" s="1">
        <v>2</v>
      </c>
      <c r="F425" s="49">
        <v>10000</v>
      </c>
      <c r="G425" s="49">
        <v>20000</v>
      </c>
    </row>
    <row r="426" spans="1:7" x14ac:dyDescent="0.25">
      <c r="A426" s="1">
        <v>186</v>
      </c>
      <c r="B426" s="1">
        <v>3</v>
      </c>
      <c r="C426" s="1" t="s">
        <v>10</v>
      </c>
      <c r="D426" s="1" t="s">
        <v>15</v>
      </c>
      <c r="E426" s="1">
        <v>1</v>
      </c>
      <c r="F426" s="49">
        <v>10000</v>
      </c>
      <c r="G426" s="49">
        <v>10000</v>
      </c>
    </row>
    <row r="427" spans="1:7" x14ac:dyDescent="0.25">
      <c r="A427" s="1">
        <v>186</v>
      </c>
      <c r="B427" s="1">
        <v>4</v>
      </c>
      <c r="C427" s="1" t="s">
        <v>182</v>
      </c>
      <c r="D427" s="1" t="s">
        <v>183</v>
      </c>
      <c r="E427" s="1">
        <v>1</v>
      </c>
      <c r="F427" s="49">
        <v>9000</v>
      </c>
      <c r="G427" s="49">
        <v>9000</v>
      </c>
    </row>
    <row r="428" spans="1:7" x14ac:dyDescent="0.25">
      <c r="A428" s="1">
        <v>186</v>
      </c>
      <c r="B428" s="1">
        <v>5</v>
      </c>
      <c r="C428" s="1" t="s">
        <v>65</v>
      </c>
      <c r="D428" s="1" t="s">
        <v>16</v>
      </c>
      <c r="E428" s="1">
        <v>1</v>
      </c>
      <c r="F428" s="49">
        <v>10000</v>
      </c>
      <c r="G428" s="49">
        <v>10000</v>
      </c>
    </row>
    <row r="429" spans="1:7" x14ac:dyDescent="0.25">
      <c r="A429" s="1">
        <v>186</v>
      </c>
      <c r="B429" s="1">
        <v>6</v>
      </c>
      <c r="C429" s="1" t="s">
        <v>182</v>
      </c>
      <c r="D429" s="1" t="s">
        <v>183</v>
      </c>
      <c r="E429" s="1">
        <v>1</v>
      </c>
      <c r="F429" s="49">
        <v>9000</v>
      </c>
      <c r="G429" s="49">
        <v>9000</v>
      </c>
    </row>
    <row r="430" spans="1:7" x14ac:dyDescent="0.25">
      <c r="A430" s="1">
        <v>186</v>
      </c>
      <c r="B430" s="1">
        <v>7</v>
      </c>
      <c r="C430" s="1" t="s">
        <v>158</v>
      </c>
      <c r="D430" s="1" t="s">
        <v>159</v>
      </c>
      <c r="E430" s="1">
        <v>1</v>
      </c>
      <c r="F430" s="49">
        <v>1400</v>
      </c>
      <c r="G430" s="49">
        <v>1400</v>
      </c>
    </row>
    <row r="431" spans="1:7" x14ac:dyDescent="0.25">
      <c r="A431" s="1">
        <v>187</v>
      </c>
      <c r="B431" s="1">
        <v>1</v>
      </c>
      <c r="C431" s="1" t="s">
        <v>127</v>
      </c>
      <c r="D431" s="1" t="s">
        <v>128</v>
      </c>
      <c r="E431" s="1">
        <v>1</v>
      </c>
      <c r="F431" s="49">
        <v>4000</v>
      </c>
      <c r="G431" s="49">
        <v>4000</v>
      </c>
    </row>
    <row r="432" spans="1:7" x14ac:dyDescent="0.25">
      <c r="A432" s="1">
        <v>188</v>
      </c>
      <c r="B432" s="1">
        <v>1</v>
      </c>
      <c r="C432" s="1" t="s">
        <v>110</v>
      </c>
      <c r="D432" s="1" t="s">
        <v>115</v>
      </c>
      <c r="E432" s="1">
        <v>1</v>
      </c>
      <c r="F432" s="49">
        <v>6000</v>
      </c>
      <c r="G432" s="49">
        <v>6000</v>
      </c>
    </row>
    <row r="433" spans="1:7" x14ac:dyDescent="0.25">
      <c r="A433" s="1">
        <v>189</v>
      </c>
      <c r="B433" s="1">
        <v>1</v>
      </c>
      <c r="C433" s="1" t="s">
        <v>65</v>
      </c>
      <c r="D433" s="1" t="s">
        <v>16</v>
      </c>
      <c r="E433" s="1">
        <v>2</v>
      </c>
      <c r="F433" s="49">
        <v>10000</v>
      </c>
      <c r="G433" s="49">
        <v>20000</v>
      </c>
    </row>
    <row r="434" spans="1:7" x14ac:dyDescent="0.25">
      <c r="A434" s="1">
        <v>189</v>
      </c>
      <c r="B434" s="1">
        <v>2</v>
      </c>
      <c r="C434" s="1" t="s">
        <v>21</v>
      </c>
      <c r="D434" s="1" t="s">
        <v>5</v>
      </c>
      <c r="E434" s="1">
        <v>1</v>
      </c>
      <c r="F434" s="49">
        <v>3000</v>
      </c>
      <c r="G434" s="49">
        <v>3000</v>
      </c>
    </row>
    <row r="435" spans="1:7" x14ac:dyDescent="0.25">
      <c r="A435" s="1">
        <v>189</v>
      </c>
      <c r="B435" s="1">
        <v>3</v>
      </c>
      <c r="C435" s="1" t="s">
        <v>28</v>
      </c>
      <c r="D435" s="1" t="s">
        <v>107</v>
      </c>
      <c r="E435" s="1">
        <v>1</v>
      </c>
      <c r="F435" s="49">
        <v>6000</v>
      </c>
      <c r="G435" s="49">
        <v>6000</v>
      </c>
    </row>
    <row r="436" spans="1:7" x14ac:dyDescent="0.25">
      <c r="A436" s="1">
        <v>189</v>
      </c>
      <c r="B436" s="1">
        <v>4</v>
      </c>
      <c r="C436" s="1" t="s">
        <v>110</v>
      </c>
      <c r="D436" s="1" t="s">
        <v>115</v>
      </c>
      <c r="E436" s="1">
        <v>1</v>
      </c>
      <c r="F436" s="49">
        <v>6000</v>
      </c>
      <c r="G436" s="49">
        <v>6000</v>
      </c>
    </row>
    <row r="437" spans="1:7" x14ac:dyDescent="0.25">
      <c r="A437" s="1">
        <v>189</v>
      </c>
      <c r="B437" s="1">
        <v>5</v>
      </c>
      <c r="C437" s="1" t="s">
        <v>110</v>
      </c>
      <c r="D437" s="1" t="s">
        <v>115</v>
      </c>
      <c r="E437" s="1">
        <v>1</v>
      </c>
      <c r="F437" s="49">
        <v>6000</v>
      </c>
      <c r="G437" s="49">
        <v>6000</v>
      </c>
    </row>
    <row r="438" spans="1:7" x14ac:dyDescent="0.25">
      <c r="A438" s="1">
        <v>189</v>
      </c>
      <c r="B438" s="1">
        <v>6</v>
      </c>
      <c r="C438" s="1" t="s">
        <v>28</v>
      </c>
      <c r="D438" s="1" t="s">
        <v>107</v>
      </c>
      <c r="E438" s="1">
        <v>1</v>
      </c>
      <c r="F438" s="49">
        <v>6000</v>
      </c>
      <c r="G438" s="49">
        <v>6000</v>
      </c>
    </row>
    <row r="439" spans="1:7" ht="30" x14ac:dyDescent="0.25">
      <c r="A439" s="1">
        <v>190</v>
      </c>
      <c r="B439" s="1">
        <v>1</v>
      </c>
      <c r="C439" s="1" t="s">
        <v>28</v>
      </c>
      <c r="D439" s="1" t="s">
        <v>171</v>
      </c>
      <c r="E439" s="1">
        <v>1</v>
      </c>
      <c r="F439" s="49">
        <v>6000</v>
      </c>
      <c r="G439" s="49">
        <v>6000</v>
      </c>
    </row>
    <row r="440" spans="1:7" x14ac:dyDescent="0.25">
      <c r="A440" s="1">
        <v>190</v>
      </c>
      <c r="B440" s="1">
        <v>2</v>
      </c>
      <c r="C440" s="1" t="s">
        <v>21</v>
      </c>
      <c r="D440" s="1" t="s">
        <v>5</v>
      </c>
      <c r="E440" s="1">
        <v>1</v>
      </c>
      <c r="F440" s="49">
        <v>3000</v>
      </c>
      <c r="G440" s="49">
        <v>3000</v>
      </c>
    </row>
    <row r="441" spans="1:7" x14ac:dyDescent="0.25">
      <c r="A441" s="1">
        <v>191</v>
      </c>
      <c r="B441" s="1">
        <v>1</v>
      </c>
      <c r="C441" s="1" t="s">
        <v>27</v>
      </c>
      <c r="D441" s="1" t="s">
        <v>106</v>
      </c>
      <c r="E441" s="1">
        <v>3</v>
      </c>
      <c r="F441" s="49">
        <v>7000</v>
      </c>
      <c r="G441" s="49">
        <v>21000</v>
      </c>
    </row>
    <row r="442" spans="1:7" x14ac:dyDescent="0.25">
      <c r="A442" s="1">
        <v>192</v>
      </c>
      <c r="B442" s="1">
        <v>1</v>
      </c>
      <c r="C442" s="1" t="s">
        <v>22</v>
      </c>
      <c r="D442" s="1" t="s">
        <v>104</v>
      </c>
      <c r="E442" s="1">
        <v>2</v>
      </c>
      <c r="F442" s="49">
        <v>7000</v>
      </c>
      <c r="G442" s="49">
        <v>14000</v>
      </c>
    </row>
    <row r="443" spans="1:7" x14ac:dyDescent="0.25">
      <c r="A443" s="1">
        <v>192</v>
      </c>
      <c r="B443" s="1">
        <v>2</v>
      </c>
      <c r="C443" s="1" t="s">
        <v>28</v>
      </c>
      <c r="D443" s="1" t="s">
        <v>107</v>
      </c>
      <c r="E443" s="1">
        <v>1</v>
      </c>
      <c r="F443" s="49">
        <v>6000</v>
      </c>
      <c r="G443" s="49">
        <v>6000</v>
      </c>
    </row>
    <row r="444" spans="1:7" x14ac:dyDescent="0.25">
      <c r="A444" s="1">
        <v>193</v>
      </c>
      <c r="B444" s="1">
        <v>1</v>
      </c>
      <c r="C444" s="1" t="s">
        <v>28</v>
      </c>
      <c r="D444" s="1" t="s">
        <v>107</v>
      </c>
      <c r="E444" s="1">
        <v>8</v>
      </c>
      <c r="F444" s="49">
        <v>6000</v>
      </c>
      <c r="G444" s="49">
        <v>48000</v>
      </c>
    </row>
    <row r="445" spans="1:7" x14ac:dyDescent="0.25">
      <c r="A445" s="1">
        <v>194</v>
      </c>
      <c r="B445" s="1">
        <v>1</v>
      </c>
      <c r="C445" s="1" t="s">
        <v>110</v>
      </c>
      <c r="D445" s="1" t="s">
        <v>115</v>
      </c>
      <c r="E445" s="1">
        <v>1</v>
      </c>
      <c r="F445" s="49">
        <v>6000</v>
      </c>
      <c r="G445" s="49">
        <v>6000</v>
      </c>
    </row>
    <row r="446" spans="1:7" x14ac:dyDescent="0.25">
      <c r="A446" s="1">
        <v>194</v>
      </c>
      <c r="B446" s="1">
        <v>2</v>
      </c>
      <c r="C446" s="1" t="s">
        <v>28</v>
      </c>
      <c r="D446" s="1" t="s">
        <v>107</v>
      </c>
      <c r="E446" s="1">
        <v>1</v>
      </c>
      <c r="F446" s="49">
        <v>6000</v>
      </c>
      <c r="G446" s="49">
        <v>6000</v>
      </c>
    </row>
    <row r="447" spans="1:7" x14ac:dyDescent="0.25">
      <c r="A447" s="1">
        <v>195</v>
      </c>
      <c r="B447" s="1">
        <v>1</v>
      </c>
      <c r="C447" s="1" t="s">
        <v>127</v>
      </c>
      <c r="D447" s="1" t="s">
        <v>128</v>
      </c>
      <c r="E447" s="1">
        <v>1</v>
      </c>
      <c r="F447" s="49">
        <v>4000</v>
      </c>
      <c r="G447" s="49">
        <v>4000</v>
      </c>
    </row>
    <row r="448" spans="1:7" x14ac:dyDescent="0.25">
      <c r="A448" s="1">
        <v>196</v>
      </c>
      <c r="B448" s="1">
        <v>1</v>
      </c>
      <c r="C448" s="1" t="s">
        <v>21</v>
      </c>
      <c r="D448" s="1" t="s">
        <v>5</v>
      </c>
      <c r="E448" s="1">
        <v>1</v>
      </c>
      <c r="F448" s="49">
        <v>3000</v>
      </c>
      <c r="G448" s="49">
        <v>3000</v>
      </c>
    </row>
    <row r="449" spans="1:7" x14ac:dyDescent="0.25">
      <c r="A449" s="1">
        <v>197</v>
      </c>
      <c r="B449" s="1">
        <v>1</v>
      </c>
      <c r="C449" s="1" t="s">
        <v>65</v>
      </c>
      <c r="D449" s="1" t="s">
        <v>16</v>
      </c>
      <c r="E449" s="1">
        <v>1</v>
      </c>
      <c r="F449" s="49">
        <v>10000</v>
      </c>
      <c r="G449" s="49">
        <v>10000</v>
      </c>
    </row>
    <row r="450" spans="1:7" x14ac:dyDescent="0.25">
      <c r="A450" s="1">
        <v>198</v>
      </c>
      <c r="B450" s="1">
        <v>1</v>
      </c>
      <c r="C450" s="1" t="s">
        <v>65</v>
      </c>
      <c r="D450" s="1" t="s">
        <v>16</v>
      </c>
      <c r="E450" s="1">
        <v>1</v>
      </c>
      <c r="F450" s="49">
        <v>10000</v>
      </c>
      <c r="G450" s="49">
        <v>10000</v>
      </c>
    </row>
    <row r="451" spans="1:7" x14ac:dyDescent="0.25">
      <c r="A451" s="1">
        <v>199</v>
      </c>
      <c r="B451" s="1">
        <v>1</v>
      </c>
      <c r="C451" s="1" t="s">
        <v>65</v>
      </c>
      <c r="D451" s="1" t="s">
        <v>16</v>
      </c>
      <c r="E451" s="1">
        <v>2</v>
      </c>
      <c r="F451" s="49">
        <v>10000</v>
      </c>
      <c r="G451" s="49">
        <v>20000</v>
      </c>
    </row>
    <row r="452" spans="1:7" x14ac:dyDescent="0.25">
      <c r="A452" s="1">
        <v>199</v>
      </c>
      <c r="B452" s="1">
        <v>2</v>
      </c>
      <c r="C452" s="1" t="s">
        <v>110</v>
      </c>
      <c r="D452" s="1" t="s">
        <v>115</v>
      </c>
      <c r="E452" s="1">
        <v>1</v>
      </c>
      <c r="F452" s="49">
        <v>6000</v>
      </c>
      <c r="G452" s="49">
        <v>6000</v>
      </c>
    </row>
    <row r="453" spans="1:7" x14ac:dyDescent="0.25">
      <c r="A453" s="1">
        <v>199</v>
      </c>
      <c r="B453" s="1">
        <v>3</v>
      </c>
      <c r="C453" s="1" t="s">
        <v>32</v>
      </c>
      <c r="D453" s="1" t="s">
        <v>9</v>
      </c>
      <c r="E453" s="1">
        <v>1</v>
      </c>
      <c r="F453" s="49">
        <v>9000</v>
      </c>
      <c r="G453" s="49">
        <v>9000</v>
      </c>
    </row>
    <row r="454" spans="1:7" x14ac:dyDescent="0.25">
      <c r="A454" s="1">
        <v>200</v>
      </c>
      <c r="B454" s="1">
        <v>1</v>
      </c>
      <c r="C454" s="1" t="s">
        <v>10</v>
      </c>
      <c r="D454" s="1" t="s">
        <v>15</v>
      </c>
      <c r="E454" s="1">
        <v>1</v>
      </c>
      <c r="F454" s="49">
        <v>10000</v>
      </c>
      <c r="G454" s="49">
        <v>10000</v>
      </c>
    </row>
    <row r="455" spans="1:7" ht="30" x14ac:dyDescent="0.25">
      <c r="A455" s="1">
        <v>200</v>
      </c>
      <c r="B455" s="1">
        <v>2</v>
      </c>
      <c r="C455" s="1" t="s">
        <v>113</v>
      </c>
      <c r="D455" s="1" t="s">
        <v>171</v>
      </c>
      <c r="E455" s="1">
        <v>2</v>
      </c>
      <c r="F455" s="49">
        <v>6000</v>
      </c>
      <c r="G455" s="49">
        <v>12000</v>
      </c>
    </row>
    <row r="456" spans="1:7" x14ac:dyDescent="0.25">
      <c r="A456" s="1">
        <v>201</v>
      </c>
      <c r="B456" s="1">
        <v>1</v>
      </c>
      <c r="C456" s="1" t="s">
        <v>28</v>
      </c>
      <c r="D456" s="1" t="s">
        <v>107</v>
      </c>
      <c r="E456" s="1">
        <v>1</v>
      </c>
      <c r="F456" s="49">
        <v>6000</v>
      </c>
      <c r="G456" s="49">
        <v>6000</v>
      </c>
    </row>
    <row r="457" spans="1:7" ht="30" x14ac:dyDescent="0.25">
      <c r="A457" s="1">
        <v>202</v>
      </c>
      <c r="B457" s="1">
        <v>1</v>
      </c>
      <c r="C457" s="1" t="s">
        <v>113</v>
      </c>
      <c r="D457" s="1" t="s">
        <v>171</v>
      </c>
      <c r="E457" s="1">
        <v>1</v>
      </c>
      <c r="F457" s="49">
        <v>6000</v>
      </c>
      <c r="G457" s="49">
        <v>6000</v>
      </c>
    </row>
    <row r="458" spans="1:7" x14ac:dyDescent="0.25">
      <c r="A458" s="1">
        <v>203</v>
      </c>
      <c r="B458" s="1">
        <v>1</v>
      </c>
      <c r="C458" s="1" t="s">
        <v>21</v>
      </c>
      <c r="D458" s="1" t="s">
        <v>5</v>
      </c>
      <c r="E458" s="1">
        <v>3</v>
      </c>
      <c r="F458" s="49">
        <v>3000</v>
      </c>
      <c r="G458" s="49">
        <v>9000</v>
      </c>
    </row>
    <row r="459" spans="1:7" x14ac:dyDescent="0.25">
      <c r="A459" s="1">
        <v>204</v>
      </c>
      <c r="B459" s="1">
        <v>1</v>
      </c>
      <c r="C459" s="1" t="s">
        <v>182</v>
      </c>
      <c r="D459" s="1" t="s">
        <v>183</v>
      </c>
      <c r="E459" s="1">
        <v>1</v>
      </c>
      <c r="F459" s="49">
        <v>9000</v>
      </c>
      <c r="G459" s="49">
        <v>9000</v>
      </c>
    </row>
    <row r="460" spans="1:7" x14ac:dyDescent="0.25">
      <c r="A460" s="1">
        <v>205</v>
      </c>
      <c r="B460" s="1">
        <v>1</v>
      </c>
      <c r="C460" s="1" t="s">
        <v>112</v>
      </c>
      <c r="D460" s="1" t="s">
        <v>114</v>
      </c>
      <c r="E460" s="1">
        <v>1</v>
      </c>
      <c r="F460" s="49">
        <v>6000</v>
      </c>
      <c r="G460" s="49">
        <v>6000</v>
      </c>
    </row>
    <row r="461" spans="1:7" x14ac:dyDescent="0.25">
      <c r="A461" s="1">
        <v>206</v>
      </c>
      <c r="B461" s="1">
        <v>1</v>
      </c>
      <c r="C461" s="1" t="s">
        <v>27</v>
      </c>
      <c r="D461" s="1" t="s">
        <v>106</v>
      </c>
      <c r="E461" s="1">
        <v>3</v>
      </c>
      <c r="F461" s="49">
        <v>7000</v>
      </c>
      <c r="G461" s="49">
        <v>21000</v>
      </c>
    </row>
    <row r="462" spans="1:7" x14ac:dyDescent="0.25">
      <c r="A462" s="1">
        <v>206</v>
      </c>
      <c r="B462" s="1">
        <v>2</v>
      </c>
      <c r="C462" s="1" t="s">
        <v>24</v>
      </c>
      <c r="D462" s="1" t="s">
        <v>105</v>
      </c>
      <c r="E462" s="1">
        <v>2</v>
      </c>
      <c r="F462" s="49">
        <v>7000</v>
      </c>
      <c r="G462" s="49">
        <v>14000</v>
      </c>
    </row>
    <row r="463" spans="1:7" x14ac:dyDescent="0.25">
      <c r="A463" s="1">
        <v>206</v>
      </c>
      <c r="B463" s="1">
        <v>3</v>
      </c>
      <c r="C463" s="1" t="s">
        <v>186</v>
      </c>
      <c r="D463" s="1" t="s">
        <v>187</v>
      </c>
      <c r="E463" s="1">
        <v>1</v>
      </c>
      <c r="F463" s="49">
        <v>3000</v>
      </c>
      <c r="G463" s="49">
        <v>3000</v>
      </c>
    </row>
    <row r="464" spans="1:7" x14ac:dyDescent="0.25">
      <c r="A464" s="1">
        <v>207</v>
      </c>
      <c r="B464" s="1">
        <v>1</v>
      </c>
      <c r="C464" s="1" t="s">
        <v>21</v>
      </c>
      <c r="D464" s="1" t="s">
        <v>5</v>
      </c>
      <c r="E464" s="1">
        <v>1</v>
      </c>
      <c r="F464" s="49">
        <v>3000</v>
      </c>
      <c r="G464" s="49">
        <v>3000</v>
      </c>
    </row>
    <row r="465" spans="1:7" x14ac:dyDescent="0.25">
      <c r="A465" s="1">
        <v>207</v>
      </c>
      <c r="B465" s="1">
        <v>2</v>
      </c>
      <c r="C465" s="1" t="s">
        <v>28</v>
      </c>
      <c r="D465" s="1" t="s">
        <v>107</v>
      </c>
      <c r="E465" s="1">
        <v>1</v>
      </c>
      <c r="F465" s="49">
        <v>6000</v>
      </c>
      <c r="G465" s="49">
        <v>6000</v>
      </c>
    </row>
    <row r="466" spans="1:7" x14ac:dyDescent="0.25">
      <c r="A466" s="1">
        <v>207</v>
      </c>
      <c r="B466" s="1">
        <v>3</v>
      </c>
      <c r="C466" s="1" t="s">
        <v>65</v>
      </c>
      <c r="D466" s="1" t="s">
        <v>16</v>
      </c>
      <c r="E466" s="1">
        <v>1</v>
      </c>
      <c r="F466" s="49">
        <v>10000</v>
      </c>
      <c r="G466" s="49">
        <v>10000</v>
      </c>
    </row>
    <row r="467" spans="1:7" x14ac:dyDescent="0.25">
      <c r="A467" s="1">
        <v>208</v>
      </c>
      <c r="B467" s="1">
        <v>1</v>
      </c>
      <c r="C467" s="1" t="s">
        <v>10</v>
      </c>
      <c r="D467" s="1" t="s">
        <v>15</v>
      </c>
      <c r="E467" s="1">
        <v>1</v>
      </c>
      <c r="F467" s="49">
        <v>10000</v>
      </c>
      <c r="G467" s="49">
        <v>10000</v>
      </c>
    </row>
    <row r="468" spans="1:7" x14ac:dyDescent="0.25">
      <c r="A468" s="1">
        <v>208</v>
      </c>
      <c r="B468" s="1">
        <v>2</v>
      </c>
      <c r="C468" s="1" t="s">
        <v>28</v>
      </c>
      <c r="D468" s="1" t="s">
        <v>107</v>
      </c>
      <c r="E468" s="1">
        <v>1</v>
      </c>
      <c r="F468" s="49">
        <v>6000</v>
      </c>
      <c r="G468" s="49">
        <v>6000</v>
      </c>
    </row>
    <row r="469" spans="1:7" x14ac:dyDescent="0.25">
      <c r="A469" s="1">
        <v>208</v>
      </c>
      <c r="B469" s="1">
        <v>3</v>
      </c>
      <c r="C469" s="1" t="s">
        <v>131</v>
      </c>
      <c r="D469" s="1" t="s">
        <v>133</v>
      </c>
      <c r="E469" s="1">
        <v>1</v>
      </c>
      <c r="F469" s="49">
        <v>14000</v>
      </c>
      <c r="G469" s="49">
        <v>14000</v>
      </c>
    </row>
    <row r="470" spans="1:7" x14ac:dyDescent="0.25">
      <c r="A470" s="1">
        <v>209</v>
      </c>
      <c r="B470" s="1">
        <v>1</v>
      </c>
      <c r="C470" s="1" t="s">
        <v>28</v>
      </c>
      <c r="D470" s="1" t="s">
        <v>107</v>
      </c>
      <c r="E470" s="1">
        <v>1</v>
      </c>
      <c r="F470" s="49">
        <v>6000</v>
      </c>
      <c r="G470" s="49">
        <v>6000</v>
      </c>
    </row>
    <row r="471" spans="1:7" x14ac:dyDescent="0.25">
      <c r="A471" s="1">
        <v>209</v>
      </c>
      <c r="B471" s="1">
        <v>2</v>
      </c>
      <c r="C471" s="1" t="s">
        <v>302</v>
      </c>
      <c r="D471" s="1" t="s">
        <v>161</v>
      </c>
      <c r="E471" s="1">
        <v>1</v>
      </c>
      <c r="F471" s="49">
        <v>1200</v>
      </c>
      <c r="G471" s="49">
        <v>1200</v>
      </c>
    </row>
    <row r="472" spans="1:7" x14ac:dyDescent="0.25">
      <c r="A472" s="1">
        <v>209</v>
      </c>
      <c r="B472" s="1">
        <v>3</v>
      </c>
      <c r="C472" s="1" t="s">
        <v>28</v>
      </c>
      <c r="D472" s="1" t="s">
        <v>107</v>
      </c>
      <c r="E472" s="1">
        <v>1</v>
      </c>
      <c r="F472" s="49">
        <v>6000</v>
      </c>
      <c r="G472" s="49">
        <v>6000</v>
      </c>
    </row>
    <row r="473" spans="1:7" x14ac:dyDescent="0.25">
      <c r="A473" s="1">
        <v>210</v>
      </c>
      <c r="B473" s="1">
        <v>1</v>
      </c>
      <c r="C473" s="1" t="s">
        <v>130</v>
      </c>
      <c r="D473" s="1" t="s">
        <v>132</v>
      </c>
      <c r="E473" s="1">
        <v>1</v>
      </c>
      <c r="F473" s="49">
        <v>12000</v>
      </c>
      <c r="G473" s="49">
        <v>12000</v>
      </c>
    </row>
    <row r="474" spans="1:7" x14ac:dyDescent="0.25">
      <c r="A474" s="1">
        <v>210</v>
      </c>
      <c r="B474" s="1">
        <v>2</v>
      </c>
      <c r="C474" s="1" t="s">
        <v>31</v>
      </c>
      <c r="D474" s="1" t="s">
        <v>109</v>
      </c>
      <c r="E474" s="1">
        <v>1</v>
      </c>
      <c r="F474" s="49">
        <v>6000</v>
      </c>
      <c r="G474" s="49">
        <v>6000</v>
      </c>
    </row>
    <row r="475" spans="1:7" x14ac:dyDescent="0.25">
      <c r="A475" s="1">
        <v>210</v>
      </c>
      <c r="B475" s="1">
        <v>3</v>
      </c>
      <c r="C475" s="1" t="s">
        <v>10</v>
      </c>
      <c r="D475" s="1" t="s">
        <v>15</v>
      </c>
      <c r="E475" s="1">
        <v>1</v>
      </c>
      <c r="F475" s="49">
        <v>10000</v>
      </c>
      <c r="G475" s="49">
        <v>10000</v>
      </c>
    </row>
    <row r="476" spans="1:7" x14ac:dyDescent="0.25">
      <c r="A476" s="1">
        <v>210</v>
      </c>
      <c r="B476" s="1">
        <v>4</v>
      </c>
      <c r="C476" s="57" t="s">
        <v>130</v>
      </c>
      <c r="D476" s="57" t="s">
        <v>132</v>
      </c>
      <c r="E476" s="57">
        <v>1</v>
      </c>
      <c r="F476" s="59">
        <v>12000</v>
      </c>
      <c r="G476" s="60">
        <v>12000</v>
      </c>
    </row>
    <row r="477" spans="1:7" x14ac:dyDescent="0.25">
      <c r="A477" s="1">
        <v>211</v>
      </c>
      <c r="B477" s="1">
        <v>1</v>
      </c>
      <c r="C477" s="1" t="s">
        <v>27</v>
      </c>
      <c r="D477" s="1" t="s">
        <v>106</v>
      </c>
      <c r="E477" s="1">
        <v>1</v>
      </c>
      <c r="F477" s="49">
        <v>7000</v>
      </c>
      <c r="G477" s="49">
        <v>7000</v>
      </c>
    </row>
    <row r="478" spans="1:7" x14ac:dyDescent="0.25">
      <c r="A478" s="1">
        <v>211</v>
      </c>
      <c r="B478" s="1">
        <v>2</v>
      </c>
      <c r="C478" s="1" t="s">
        <v>110</v>
      </c>
      <c r="D478" s="1" t="s">
        <v>115</v>
      </c>
      <c r="E478" s="1">
        <v>1</v>
      </c>
      <c r="F478" s="49">
        <v>6000</v>
      </c>
      <c r="G478" s="49">
        <v>6000</v>
      </c>
    </row>
    <row r="479" spans="1:7" x14ac:dyDescent="0.25">
      <c r="A479" s="1">
        <v>212</v>
      </c>
      <c r="B479" s="1">
        <v>1</v>
      </c>
      <c r="C479" s="1" t="s">
        <v>182</v>
      </c>
      <c r="D479" s="1" t="s">
        <v>183</v>
      </c>
      <c r="E479" s="1">
        <v>1</v>
      </c>
      <c r="F479" s="49">
        <v>9000</v>
      </c>
      <c r="G479" s="49">
        <v>9000</v>
      </c>
    </row>
    <row r="480" spans="1:7" x14ac:dyDescent="0.25">
      <c r="A480" s="1">
        <v>212</v>
      </c>
      <c r="B480" s="1">
        <v>2</v>
      </c>
      <c r="C480" s="1" t="s">
        <v>10</v>
      </c>
      <c r="D480" s="1" t="s">
        <v>15</v>
      </c>
      <c r="E480" s="1">
        <v>1</v>
      </c>
      <c r="F480" s="49">
        <v>10000</v>
      </c>
      <c r="G480" s="49">
        <v>10000</v>
      </c>
    </row>
    <row r="481" spans="1:7" x14ac:dyDescent="0.25">
      <c r="A481" s="1">
        <v>212</v>
      </c>
      <c r="B481" s="1">
        <v>3</v>
      </c>
      <c r="C481" s="1" t="s">
        <v>65</v>
      </c>
      <c r="D481" s="1" t="s">
        <v>16</v>
      </c>
      <c r="E481" s="1">
        <v>1</v>
      </c>
      <c r="F481" s="49">
        <v>10000</v>
      </c>
      <c r="G481" s="49">
        <v>10000</v>
      </c>
    </row>
    <row r="482" spans="1:7" x14ac:dyDescent="0.25">
      <c r="A482" s="1">
        <v>212</v>
      </c>
      <c r="B482" s="1">
        <v>4</v>
      </c>
      <c r="C482" s="1" t="s">
        <v>65</v>
      </c>
      <c r="D482" s="1" t="s">
        <v>16</v>
      </c>
      <c r="E482" s="1">
        <v>1</v>
      </c>
      <c r="F482" s="49">
        <v>10000</v>
      </c>
      <c r="G482" s="49">
        <v>10000</v>
      </c>
    </row>
    <row r="483" spans="1:7" x14ac:dyDescent="0.25">
      <c r="A483" s="1">
        <v>213</v>
      </c>
      <c r="B483" s="1">
        <v>1</v>
      </c>
      <c r="C483" s="1" t="s">
        <v>65</v>
      </c>
      <c r="D483" s="1" t="s">
        <v>16</v>
      </c>
      <c r="E483" s="1">
        <v>1</v>
      </c>
      <c r="F483" s="49">
        <v>10000</v>
      </c>
      <c r="G483" s="49">
        <v>10000</v>
      </c>
    </row>
    <row r="484" spans="1:7" x14ac:dyDescent="0.25">
      <c r="A484" s="1">
        <v>213</v>
      </c>
      <c r="B484" s="1">
        <v>2</v>
      </c>
      <c r="C484" s="1" t="s">
        <v>110</v>
      </c>
      <c r="D484" s="1" t="s">
        <v>115</v>
      </c>
      <c r="E484" s="1">
        <v>1</v>
      </c>
      <c r="F484" s="49">
        <v>6000</v>
      </c>
      <c r="G484" s="49">
        <v>6000</v>
      </c>
    </row>
    <row r="485" spans="1:7" x14ac:dyDescent="0.25">
      <c r="A485" s="1">
        <v>213</v>
      </c>
      <c r="B485" s="1">
        <v>3</v>
      </c>
      <c r="C485" s="57" t="s">
        <v>130</v>
      </c>
      <c r="D485" s="57" t="s">
        <v>132</v>
      </c>
      <c r="E485" s="57">
        <v>1</v>
      </c>
      <c r="F485" s="59">
        <v>12000</v>
      </c>
      <c r="G485" s="60">
        <v>12000</v>
      </c>
    </row>
    <row r="486" spans="1:7" x14ac:dyDescent="0.25">
      <c r="A486" s="1">
        <v>213</v>
      </c>
      <c r="B486" s="1">
        <v>4</v>
      </c>
      <c r="C486" s="1" t="s">
        <v>21</v>
      </c>
      <c r="D486" s="1" t="s">
        <v>5</v>
      </c>
      <c r="E486" s="1">
        <v>1</v>
      </c>
      <c r="F486" s="49">
        <v>3000</v>
      </c>
      <c r="G486" s="49">
        <v>3000</v>
      </c>
    </row>
    <row r="487" spans="1:7" x14ac:dyDescent="0.25">
      <c r="A487" s="1">
        <v>213</v>
      </c>
      <c r="B487" s="1">
        <v>5</v>
      </c>
      <c r="C487" s="1" t="s">
        <v>182</v>
      </c>
      <c r="D487" s="1" t="s">
        <v>183</v>
      </c>
      <c r="E487" s="1">
        <v>1</v>
      </c>
      <c r="F487" s="49">
        <v>9000</v>
      </c>
      <c r="G487" s="49">
        <v>9000</v>
      </c>
    </row>
    <row r="488" spans="1:7" x14ac:dyDescent="0.25">
      <c r="A488" s="1">
        <v>213</v>
      </c>
      <c r="B488" s="1">
        <v>6</v>
      </c>
      <c r="C488" s="1" t="s">
        <v>110</v>
      </c>
      <c r="D488" s="1" t="s">
        <v>115</v>
      </c>
      <c r="E488" s="1">
        <v>1</v>
      </c>
      <c r="F488" s="49">
        <v>6000</v>
      </c>
      <c r="G488" s="49">
        <v>6000</v>
      </c>
    </row>
    <row r="489" spans="1:7" ht="30" x14ac:dyDescent="0.25">
      <c r="A489" s="1">
        <v>214</v>
      </c>
      <c r="B489" s="1">
        <v>1</v>
      </c>
      <c r="C489" s="1" t="s">
        <v>113</v>
      </c>
      <c r="D489" s="1" t="s">
        <v>171</v>
      </c>
      <c r="E489" s="1">
        <v>1</v>
      </c>
      <c r="F489" s="49">
        <v>6000</v>
      </c>
      <c r="G489" s="49">
        <v>6000</v>
      </c>
    </row>
    <row r="490" spans="1:7" x14ac:dyDescent="0.25">
      <c r="A490" s="1">
        <v>214</v>
      </c>
      <c r="B490" s="1">
        <v>2</v>
      </c>
      <c r="C490" s="1" t="s">
        <v>112</v>
      </c>
      <c r="D490" s="1" t="s">
        <v>114</v>
      </c>
      <c r="E490" s="1">
        <v>1</v>
      </c>
      <c r="F490" s="49">
        <v>6000</v>
      </c>
      <c r="G490" s="49">
        <v>6000</v>
      </c>
    </row>
    <row r="491" spans="1:7" x14ac:dyDescent="0.25">
      <c r="A491" s="1">
        <v>214</v>
      </c>
      <c r="B491" s="1">
        <v>3</v>
      </c>
      <c r="C491" s="1" t="s">
        <v>65</v>
      </c>
      <c r="D491" s="1" t="s">
        <v>16</v>
      </c>
      <c r="E491" s="1">
        <v>2</v>
      </c>
      <c r="F491" s="49">
        <v>10000</v>
      </c>
      <c r="G491" s="49">
        <v>20000</v>
      </c>
    </row>
    <row r="492" spans="1:7" x14ac:dyDescent="0.25">
      <c r="A492" s="1">
        <v>215</v>
      </c>
      <c r="B492" s="1">
        <v>1</v>
      </c>
      <c r="C492" s="1" t="s">
        <v>182</v>
      </c>
      <c r="D492" s="1" t="s">
        <v>183</v>
      </c>
      <c r="E492" s="1">
        <v>2</v>
      </c>
      <c r="F492" s="49">
        <v>9000</v>
      </c>
      <c r="G492" s="49">
        <v>18000</v>
      </c>
    </row>
    <row r="493" spans="1:7" x14ac:dyDescent="0.25">
      <c r="A493" s="1">
        <v>216</v>
      </c>
      <c r="B493" s="1">
        <v>1</v>
      </c>
      <c r="C493" s="1" t="s">
        <v>182</v>
      </c>
      <c r="D493" s="1" t="s">
        <v>183</v>
      </c>
      <c r="E493" s="1">
        <v>5</v>
      </c>
      <c r="F493" s="49">
        <v>9000</v>
      </c>
      <c r="G493" s="49">
        <v>45000</v>
      </c>
    </row>
    <row r="494" spans="1:7" x14ac:dyDescent="0.25">
      <c r="A494" s="1">
        <v>216</v>
      </c>
      <c r="B494" s="1">
        <v>2</v>
      </c>
      <c r="C494" s="1" t="s">
        <v>65</v>
      </c>
      <c r="D494" s="1" t="s">
        <v>16</v>
      </c>
      <c r="E494" s="1">
        <v>4</v>
      </c>
      <c r="F494" s="49">
        <v>10000</v>
      </c>
      <c r="G494" s="49">
        <v>40000</v>
      </c>
    </row>
    <row r="495" spans="1:7" x14ac:dyDescent="0.25">
      <c r="A495" s="1">
        <v>216</v>
      </c>
      <c r="B495" s="1">
        <v>3</v>
      </c>
      <c r="C495" s="1" t="s">
        <v>158</v>
      </c>
      <c r="D495" s="1" t="s">
        <v>159</v>
      </c>
      <c r="E495" s="1">
        <v>6</v>
      </c>
      <c r="F495" s="49">
        <v>1400</v>
      </c>
      <c r="G495" s="49">
        <v>8400</v>
      </c>
    </row>
    <row r="496" spans="1:7" x14ac:dyDescent="0.25">
      <c r="A496" s="1">
        <v>217</v>
      </c>
      <c r="B496" s="1">
        <v>1</v>
      </c>
      <c r="C496" s="1" t="s">
        <v>22</v>
      </c>
      <c r="D496" s="1" t="s">
        <v>104</v>
      </c>
      <c r="E496" s="1">
        <v>1</v>
      </c>
      <c r="F496" s="49">
        <v>7000</v>
      </c>
      <c r="G496" s="49">
        <v>7000</v>
      </c>
    </row>
    <row r="497" spans="1:7" x14ac:dyDescent="0.25">
      <c r="A497" s="1">
        <v>217</v>
      </c>
      <c r="B497" s="1">
        <v>2</v>
      </c>
      <c r="C497" s="1" t="s">
        <v>112</v>
      </c>
      <c r="D497" s="1" t="s">
        <v>114</v>
      </c>
      <c r="E497" s="1">
        <v>1</v>
      </c>
      <c r="F497" s="49">
        <v>6000</v>
      </c>
      <c r="G497" s="49">
        <v>6000</v>
      </c>
    </row>
    <row r="498" spans="1:7" x14ac:dyDescent="0.25">
      <c r="A498" s="1">
        <v>217</v>
      </c>
      <c r="B498" s="1">
        <v>3</v>
      </c>
      <c r="C498" s="1" t="s">
        <v>164</v>
      </c>
      <c r="D498" s="1" t="s">
        <v>165</v>
      </c>
      <c r="E498" s="1">
        <v>1</v>
      </c>
      <c r="F498" s="49">
        <v>4000</v>
      </c>
      <c r="G498" s="49">
        <v>4000</v>
      </c>
    </row>
    <row r="499" spans="1:7" x14ac:dyDescent="0.25">
      <c r="A499" s="1">
        <v>218</v>
      </c>
      <c r="B499" s="1">
        <v>1</v>
      </c>
      <c r="C499" s="1" t="s">
        <v>28</v>
      </c>
      <c r="D499" s="1" t="s">
        <v>107</v>
      </c>
      <c r="E499" s="1">
        <v>1</v>
      </c>
      <c r="F499" s="49">
        <v>6000</v>
      </c>
      <c r="G499" s="49">
        <v>6000</v>
      </c>
    </row>
    <row r="500" spans="1:7" x14ac:dyDescent="0.25">
      <c r="A500" s="1">
        <v>218</v>
      </c>
      <c r="B500" s="1">
        <v>2</v>
      </c>
      <c r="C500" s="1" t="s">
        <v>186</v>
      </c>
      <c r="D500" s="1" t="s">
        <v>187</v>
      </c>
      <c r="E500" s="1">
        <v>1</v>
      </c>
      <c r="F500" s="49">
        <v>3000</v>
      </c>
      <c r="G500" s="49">
        <v>3000</v>
      </c>
    </row>
    <row r="501" spans="1:7" x14ac:dyDescent="0.25">
      <c r="A501" s="1">
        <v>218</v>
      </c>
      <c r="B501" s="1">
        <v>3</v>
      </c>
      <c r="C501" s="1" t="s">
        <v>28</v>
      </c>
      <c r="D501" s="1" t="s">
        <v>184</v>
      </c>
      <c r="E501" s="1">
        <v>1</v>
      </c>
      <c r="F501" s="49">
        <v>6000</v>
      </c>
      <c r="G501" s="49">
        <v>6000</v>
      </c>
    </row>
    <row r="502" spans="1:7" x14ac:dyDescent="0.25">
      <c r="A502" s="1">
        <v>218</v>
      </c>
      <c r="B502" s="1">
        <v>4</v>
      </c>
      <c r="C502" s="1" t="s">
        <v>186</v>
      </c>
      <c r="D502" s="1" t="s">
        <v>187</v>
      </c>
      <c r="E502" s="1">
        <v>1</v>
      </c>
      <c r="F502" s="49">
        <v>3000</v>
      </c>
      <c r="G502" s="49">
        <v>3000</v>
      </c>
    </row>
    <row r="503" spans="1:7" x14ac:dyDescent="0.25">
      <c r="A503" s="1">
        <v>218</v>
      </c>
      <c r="B503" s="1">
        <v>5</v>
      </c>
      <c r="C503" s="1" t="s">
        <v>164</v>
      </c>
      <c r="D503" s="1" t="s">
        <v>165</v>
      </c>
      <c r="E503" s="1">
        <v>1</v>
      </c>
      <c r="F503" s="49">
        <v>4000</v>
      </c>
      <c r="G503" s="49">
        <v>4000</v>
      </c>
    </row>
    <row r="504" spans="1:7" x14ac:dyDescent="0.25">
      <c r="A504" s="1">
        <v>218</v>
      </c>
      <c r="B504" s="1">
        <v>6</v>
      </c>
      <c r="C504" s="1" t="s">
        <v>28</v>
      </c>
      <c r="D504" s="1" t="s">
        <v>184</v>
      </c>
      <c r="E504" s="1">
        <v>1</v>
      </c>
      <c r="F504" s="49">
        <v>6000</v>
      </c>
      <c r="G504" s="49">
        <v>6000</v>
      </c>
    </row>
    <row r="505" spans="1:7" x14ac:dyDescent="0.25">
      <c r="A505" s="1">
        <v>219</v>
      </c>
      <c r="B505" s="1">
        <v>1</v>
      </c>
      <c r="C505" s="1" t="s">
        <v>65</v>
      </c>
      <c r="D505" s="1" t="s">
        <v>16</v>
      </c>
      <c r="E505" s="1">
        <v>1</v>
      </c>
      <c r="F505" s="49">
        <v>10000</v>
      </c>
      <c r="G505" s="49">
        <v>10000</v>
      </c>
    </row>
    <row r="506" spans="1:7" x14ac:dyDescent="0.25">
      <c r="A506" s="1">
        <v>219</v>
      </c>
      <c r="B506" s="1">
        <v>2</v>
      </c>
      <c r="C506" s="1" t="s">
        <v>22</v>
      </c>
      <c r="D506" s="1" t="s">
        <v>104</v>
      </c>
      <c r="E506" s="1">
        <v>1</v>
      </c>
      <c r="F506" s="49">
        <v>7000</v>
      </c>
      <c r="G506" s="49">
        <v>7000</v>
      </c>
    </row>
    <row r="507" spans="1:7" x14ac:dyDescent="0.25">
      <c r="A507" s="1">
        <v>220</v>
      </c>
      <c r="B507" s="1">
        <v>1</v>
      </c>
      <c r="C507" s="1" t="s">
        <v>182</v>
      </c>
      <c r="D507" s="1" t="s">
        <v>183</v>
      </c>
      <c r="E507" s="1">
        <v>1</v>
      </c>
      <c r="F507" s="49">
        <v>9000</v>
      </c>
      <c r="G507" s="49">
        <v>9000</v>
      </c>
    </row>
    <row r="508" spans="1:7" x14ac:dyDescent="0.25">
      <c r="A508" s="1">
        <v>220</v>
      </c>
      <c r="B508" s="1">
        <v>2</v>
      </c>
      <c r="C508" s="1" t="s">
        <v>302</v>
      </c>
      <c r="D508" s="1" t="s">
        <v>161</v>
      </c>
      <c r="E508" s="1">
        <v>2</v>
      </c>
      <c r="F508" s="49">
        <v>1200</v>
      </c>
      <c r="G508" s="49">
        <v>2400</v>
      </c>
    </row>
    <row r="509" spans="1:7" x14ac:dyDescent="0.25">
      <c r="A509" s="1">
        <v>221</v>
      </c>
      <c r="B509" s="1">
        <v>1</v>
      </c>
      <c r="C509" s="1" t="s">
        <v>425</v>
      </c>
      <c r="D509" s="1" t="s">
        <v>426</v>
      </c>
      <c r="E509" s="1">
        <v>1</v>
      </c>
      <c r="F509" s="49">
        <v>349200</v>
      </c>
      <c r="G509" s="49">
        <v>349200</v>
      </c>
    </row>
    <row r="510" spans="1:7" x14ac:dyDescent="0.25">
      <c r="A510" s="1">
        <v>222</v>
      </c>
      <c r="B510" s="1">
        <v>1</v>
      </c>
      <c r="C510" s="1" t="s">
        <v>28</v>
      </c>
      <c r="D510" s="1" t="s">
        <v>107</v>
      </c>
      <c r="E510" s="1">
        <v>1</v>
      </c>
      <c r="F510" s="49">
        <v>6000</v>
      </c>
      <c r="G510" s="49">
        <v>6000</v>
      </c>
    </row>
    <row r="511" spans="1:7" x14ac:dyDescent="0.25">
      <c r="A511" s="1">
        <v>222</v>
      </c>
      <c r="B511" s="1">
        <v>2</v>
      </c>
      <c r="C511" s="1" t="s">
        <v>65</v>
      </c>
      <c r="D511" s="1" t="s">
        <v>16</v>
      </c>
      <c r="E511" s="1">
        <v>1</v>
      </c>
      <c r="F511" s="49">
        <v>10000</v>
      </c>
      <c r="G511" s="49">
        <v>10000</v>
      </c>
    </row>
    <row r="512" spans="1:7" x14ac:dyDescent="0.25">
      <c r="A512" s="1">
        <v>222</v>
      </c>
      <c r="B512" s="1">
        <v>3</v>
      </c>
      <c r="C512" s="1" t="s">
        <v>28</v>
      </c>
      <c r="D512" s="1" t="s">
        <v>107</v>
      </c>
      <c r="E512" s="1">
        <v>1</v>
      </c>
      <c r="F512" s="49">
        <v>6000</v>
      </c>
      <c r="G512" s="49">
        <v>6000</v>
      </c>
    </row>
    <row r="513" spans="1:7" x14ac:dyDescent="0.25">
      <c r="A513" s="1">
        <v>222</v>
      </c>
      <c r="B513" s="1">
        <v>4</v>
      </c>
      <c r="C513" s="1" t="s">
        <v>110</v>
      </c>
      <c r="D513" s="1" t="s">
        <v>115</v>
      </c>
      <c r="E513" s="1">
        <v>1</v>
      </c>
      <c r="F513" s="49">
        <v>6000</v>
      </c>
      <c r="G513" s="49">
        <v>6000</v>
      </c>
    </row>
    <row r="514" spans="1:7" x14ac:dyDescent="0.25">
      <c r="A514" s="1">
        <v>223</v>
      </c>
      <c r="B514" s="1">
        <v>1</v>
      </c>
      <c r="C514" s="1" t="s">
        <v>28</v>
      </c>
      <c r="D514" s="1" t="s">
        <v>184</v>
      </c>
      <c r="E514" s="1">
        <v>1</v>
      </c>
      <c r="F514" s="49">
        <v>6000</v>
      </c>
      <c r="G514" s="49">
        <v>6000</v>
      </c>
    </row>
    <row r="515" spans="1:7" x14ac:dyDescent="0.25">
      <c r="A515" s="1">
        <v>224</v>
      </c>
      <c r="B515" s="1">
        <v>1</v>
      </c>
      <c r="C515" s="1" t="s">
        <v>27</v>
      </c>
      <c r="D515" s="1" t="s">
        <v>106</v>
      </c>
      <c r="E515" s="1">
        <v>1</v>
      </c>
      <c r="F515" s="49">
        <v>7000</v>
      </c>
      <c r="G515" s="49">
        <v>7000</v>
      </c>
    </row>
    <row r="516" spans="1:7" x14ac:dyDescent="0.25">
      <c r="A516" s="1">
        <v>225</v>
      </c>
      <c r="B516" s="1">
        <v>1</v>
      </c>
      <c r="C516" s="1" t="s">
        <v>112</v>
      </c>
      <c r="D516" s="1" t="s">
        <v>114</v>
      </c>
      <c r="E516" s="1">
        <v>1</v>
      </c>
      <c r="F516" s="49">
        <v>6000</v>
      </c>
      <c r="G516" s="49">
        <v>6000</v>
      </c>
    </row>
    <row r="517" spans="1:7" x14ac:dyDescent="0.25">
      <c r="A517" s="1">
        <v>225</v>
      </c>
      <c r="B517" s="1">
        <v>2</v>
      </c>
      <c r="C517" s="1" t="s">
        <v>21</v>
      </c>
      <c r="D517" s="1" t="s">
        <v>5</v>
      </c>
      <c r="E517" s="1">
        <v>1</v>
      </c>
      <c r="F517" s="49">
        <v>3000</v>
      </c>
      <c r="G517" s="49">
        <v>3000</v>
      </c>
    </row>
    <row r="518" spans="1:7" x14ac:dyDescent="0.25">
      <c r="A518" s="1">
        <v>226</v>
      </c>
      <c r="B518" s="1">
        <v>1</v>
      </c>
      <c r="C518" s="1" t="s">
        <v>28</v>
      </c>
      <c r="D518" s="1" t="s">
        <v>184</v>
      </c>
      <c r="E518" s="1">
        <v>2</v>
      </c>
      <c r="F518" s="49">
        <v>6000</v>
      </c>
      <c r="G518" s="49">
        <v>12000</v>
      </c>
    </row>
    <row r="519" spans="1:7" x14ac:dyDescent="0.25">
      <c r="A519" s="1">
        <v>227</v>
      </c>
      <c r="B519" s="1">
        <v>1</v>
      </c>
      <c r="C519" s="1" t="s">
        <v>110</v>
      </c>
      <c r="D519" s="1" t="s">
        <v>115</v>
      </c>
      <c r="E519" s="1">
        <v>1</v>
      </c>
      <c r="F519" s="49">
        <v>6000</v>
      </c>
      <c r="G519" s="49">
        <v>6000</v>
      </c>
    </row>
    <row r="520" spans="1:7" x14ac:dyDescent="0.25">
      <c r="A520" s="1">
        <v>227</v>
      </c>
      <c r="B520" s="1">
        <v>2</v>
      </c>
      <c r="C520" s="1" t="s">
        <v>28</v>
      </c>
      <c r="D520" s="1" t="s">
        <v>184</v>
      </c>
      <c r="E520" s="1">
        <v>1</v>
      </c>
      <c r="F520" s="49">
        <v>6000</v>
      </c>
      <c r="G520" s="49">
        <v>6000</v>
      </c>
    </row>
    <row r="521" spans="1:7" x14ac:dyDescent="0.25">
      <c r="A521" s="1">
        <v>228</v>
      </c>
      <c r="B521" s="1">
        <v>1</v>
      </c>
      <c r="C521" s="1" t="s">
        <v>65</v>
      </c>
      <c r="D521" s="1" t="s">
        <v>16</v>
      </c>
      <c r="E521" s="1">
        <v>1</v>
      </c>
      <c r="F521" s="49">
        <v>10000</v>
      </c>
      <c r="G521" s="49">
        <v>10000</v>
      </c>
    </row>
    <row r="522" spans="1:7" x14ac:dyDescent="0.25">
      <c r="A522" s="1">
        <v>228</v>
      </c>
      <c r="B522" s="1">
        <v>2</v>
      </c>
      <c r="C522" s="1" t="s">
        <v>110</v>
      </c>
      <c r="D522" s="1" t="s">
        <v>115</v>
      </c>
      <c r="E522" s="1">
        <v>1</v>
      </c>
      <c r="F522" s="49">
        <v>6000</v>
      </c>
      <c r="G522" s="49">
        <v>6000</v>
      </c>
    </row>
    <row r="523" spans="1:7" x14ac:dyDescent="0.25">
      <c r="A523" s="1">
        <v>229</v>
      </c>
      <c r="B523" s="1">
        <v>1</v>
      </c>
      <c r="C523" s="1" t="s">
        <v>21</v>
      </c>
      <c r="D523" s="1" t="s">
        <v>5</v>
      </c>
      <c r="E523" s="1">
        <v>2</v>
      </c>
      <c r="F523" s="49">
        <v>3000</v>
      </c>
      <c r="G523" s="49">
        <v>6000</v>
      </c>
    </row>
    <row r="524" spans="1:7" x14ac:dyDescent="0.25">
      <c r="A524" s="1">
        <v>229</v>
      </c>
      <c r="B524" s="1">
        <v>2</v>
      </c>
      <c r="C524" s="1" t="s">
        <v>65</v>
      </c>
      <c r="D524" s="1" t="s">
        <v>16</v>
      </c>
      <c r="E524" s="1">
        <v>1</v>
      </c>
      <c r="F524" s="49">
        <v>10000</v>
      </c>
      <c r="G524" s="49">
        <v>10000</v>
      </c>
    </row>
    <row r="525" spans="1:7" x14ac:dyDescent="0.25">
      <c r="A525" s="1">
        <v>229</v>
      </c>
      <c r="B525" s="1">
        <v>3</v>
      </c>
      <c r="C525" s="1" t="s">
        <v>28</v>
      </c>
      <c r="D525" s="1" t="s">
        <v>107</v>
      </c>
      <c r="E525" s="1">
        <v>1</v>
      </c>
      <c r="F525" s="49">
        <v>6000</v>
      </c>
      <c r="G525" s="49">
        <v>6000</v>
      </c>
    </row>
    <row r="526" spans="1:7" x14ac:dyDescent="0.25">
      <c r="A526" s="1">
        <v>230</v>
      </c>
      <c r="B526" s="1">
        <v>1</v>
      </c>
      <c r="C526" s="1" t="s">
        <v>31</v>
      </c>
      <c r="D526" s="1" t="s">
        <v>109</v>
      </c>
      <c r="E526" s="1">
        <v>1</v>
      </c>
      <c r="F526" s="49">
        <v>6000</v>
      </c>
      <c r="G526" s="49">
        <v>6000</v>
      </c>
    </row>
    <row r="527" spans="1:7" x14ac:dyDescent="0.25">
      <c r="A527" s="1">
        <v>230</v>
      </c>
      <c r="B527" s="1">
        <v>2</v>
      </c>
      <c r="C527" s="1" t="s">
        <v>65</v>
      </c>
      <c r="D527" s="1" t="s">
        <v>16</v>
      </c>
      <c r="E527" s="1">
        <v>2</v>
      </c>
      <c r="F527" s="49">
        <v>10000</v>
      </c>
      <c r="G527" s="49">
        <v>20000</v>
      </c>
    </row>
    <row r="528" spans="1:7" x14ac:dyDescent="0.25">
      <c r="A528" s="1">
        <v>230</v>
      </c>
      <c r="B528" s="1">
        <v>3</v>
      </c>
      <c r="C528" s="1" t="s">
        <v>65</v>
      </c>
      <c r="D528" s="1" t="s">
        <v>16</v>
      </c>
      <c r="E528" s="1">
        <v>1</v>
      </c>
      <c r="F528" s="49">
        <v>10000</v>
      </c>
      <c r="G528" s="49">
        <v>10000</v>
      </c>
    </row>
    <row r="529" spans="1:7" x14ac:dyDescent="0.25">
      <c r="A529" s="1">
        <v>231</v>
      </c>
      <c r="B529" s="1">
        <v>1</v>
      </c>
      <c r="C529" s="1" t="s">
        <v>28</v>
      </c>
      <c r="D529" s="1" t="s">
        <v>107</v>
      </c>
      <c r="E529" s="1">
        <v>1</v>
      </c>
      <c r="F529" s="49">
        <v>6000</v>
      </c>
      <c r="G529" s="49">
        <v>6000</v>
      </c>
    </row>
    <row r="530" spans="1:7" x14ac:dyDescent="0.25">
      <c r="A530" s="1">
        <v>232</v>
      </c>
      <c r="B530" s="1">
        <v>1</v>
      </c>
      <c r="C530" s="1" t="s">
        <v>186</v>
      </c>
      <c r="D530" s="1" t="s">
        <v>187</v>
      </c>
      <c r="E530" s="1">
        <v>2</v>
      </c>
      <c r="F530" s="49">
        <v>3000</v>
      </c>
      <c r="G530" s="49">
        <v>6000</v>
      </c>
    </row>
    <row r="531" spans="1:7" x14ac:dyDescent="0.25">
      <c r="A531" s="1">
        <v>232</v>
      </c>
      <c r="B531" s="1">
        <v>2</v>
      </c>
      <c r="C531" s="1" t="s">
        <v>110</v>
      </c>
      <c r="D531" s="1" t="s">
        <v>115</v>
      </c>
      <c r="E531" s="1">
        <v>1</v>
      </c>
      <c r="F531" s="49">
        <v>6000</v>
      </c>
      <c r="G531" s="49">
        <v>6000</v>
      </c>
    </row>
    <row r="532" spans="1:7" x14ac:dyDescent="0.25">
      <c r="A532" s="1">
        <v>233</v>
      </c>
      <c r="B532" s="1">
        <v>1</v>
      </c>
      <c r="C532" s="1" t="s">
        <v>21</v>
      </c>
      <c r="D532" s="1" t="s">
        <v>5</v>
      </c>
      <c r="E532" s="1">
        <v>1</v>
      </c>
      <c r="F532" s="49">
        <v>3000</v>
      </c>
      <c r="G532" s="49">
        <v>3000</v>
      </c>
    </row>
    <row r="533" spans="1:7" ht="30" x14ac:dyDescent="0.25">
      <c r="A533" s="1">
        <v>233</v>
      </c>
      <c r="B533" s="1">
        <v>2</v>
      </c>
      <c r="C533" s="1" t="s">
        <v>113</v>
      </c>
      <c r="D533" s="1" t="s">
        <v>171</v>
      </c>
      <c r="E533" s="1">
        <v>1</v>
      </c>
      <c r="F533" s="49">
        <v>6000</v>
      </c>
      <c r="G533" s="49">
        <v>6000</v>
      </c>
    </row>
    <row r="534" spans="1:7" x14ac:dyDescent="0.25">
      <c r="A534" s="1">
        <v>234</v>
      </c>
      <c r="B534" s="1">
        <v>1</v>
      </c>
      <c r="C534" s="1" t="s">
        <v>28</v>
      </c>
      <c r="D534" s="1" t="s">
        <v>184</v>
      </c>
      <c r="E534" s="1">
        <v>1</v>
      </c>
      <c r="F534" s="49">
        <v>6000</v>
      </c>
      <c r="G534" s="49">
        <v>6000</v>
      </c>
    </row>
    <row r="535" spans="1:7" x14ac:dyDescent="0.25">
      <c r="A535" s="1">
        <v>234</v>
      </c>
      <c r="B535" s="1">
        <v>2</v>
      </c>
      <c r="C535" s="1" t="s">
        <v>28</v>
      </c>
      <c r="D535" s="1" t="s">
        <v>184</v>
      </c>
      <c r="E535" s="1">
        <v>1</v>
      </c>
      <c r="F535" s="49">
        <v>6000</v>
      </c>
      <c r="G535" s="49">
        <v>6000</v>
      </c>
    </row>
    <row r="536" spans="1:7" x14ac:dyDescent="0.25">
      <c r="A536" s="1">
        <v>234</v>
      </c>
      <c r="B536" s="1">
        <v>3</v>
      </c>
      <c r="C536" s="1" t="s">
        <v>28</v>
      </c>
      <c r="D536" s="1" t="s">
        <v>107</v>
      </c>
      <c r="E536" s="1">
        <v>1</v>
      </c>
      <c r="F536" s="49">
        <v>6000</v>
      </c>
      <c r="G536" s="49">
        <v>6000</v>
      </c>
    </row>
    <row r="537" spans="1:7" x14ac:dyDescent="0.25">
      <c r="A537" s="1">
        <v>234</v>
      </c>
      <c r="B537" s="1">
        <v>4</v>
      </c>
      <c r="C537" s="1" t="s">
        <v>28</v>
      </c>
      <c r="D537" s="1" t="s">
        <v>184</v>
      </c>
      <c r="E537" s="1">
        <v>1</v>
      </c>
      <c r="F537" s="49">
        <v>6000</v>
      </c>
      <c r="G537" s="49">
        <v>6000</v>
      </c>
    </row>
    <row r="538" spans="1:7" x14ac:dyDescent="0.25">
      <c r="A538" s="1">
        <v>234</v>
      </c>
      <c r="B538" s="1">
        <v>5</v>
      </c>
      <c r="C538" s="1" t="s">
        <v>28</v>
      </c>
      <c r="D538" s="1" t="s">
        <v>107</v>
      </c>
      <c r="E538" s="1">
        <v>1</v>
      </c>
      <c r="F538" s="49">
        <v>6000</v>
      </c>
      <c r="G538" s="49">
        <v>6000</v>
      </c>
    </row>
    <row r="539" spans="1:7" x14ac:dyDescent="0.25">
      <c r="A539" s="1">
        <v>235</v>
      </c>
      <c r="B539" s="1">
        <v>1</v>
      </c>
      <c r="C539" s="1" t="s">
        <v>28</v>
      </c>
      <c r="D539" s="1" t="s">
        <v>107</v>
      </c>
      <c r="E539" s="1">
        <v>1</v>
      </c>
      <c r="F539" s="49">
        <v>6000</v>
      </c>
      <c r="G539" s="49">
        <v>6000</v>
      </c>
    </row>
    <row r="540" spans="1:7" x14ac:dyDescent="0.25">
      <c r="A540" s="1">
        <v>236</v>
      </c>
      <c r="B540" s="1">
        <v>1</v>
      </c>
      <c r="C540" s="1" t="s">
        <v>65</v>
      </c>
      <c r="D540" s="1" t="s">
        <v>16</v>
      </c>
      <c r="E540" s="1">
        <v>1</v>
      </c>
      <c r="F540" s="49">
        <v>10000</v>
      </c>
      <c r="G540" s="49">
        <v>10000</v>
      </c>
    </row>
    <row r="541" spans="1:7" x14ac:dyDescent="0.25">
      <c r="A541" s="1">
        <v>237</v>
      </c>
      <c r="B541" s="1">
        <v>1</v>
      </c>
      <c r="C541" s="1" t="s">
        <v>28</v>
      </c>
      <c r="D541" s="1" t="s">
        <v>184</v>
      </c>
      <c r="E541" s="1">
        <v>2</v>
      </c>
      <c r="F541" s="49">
        <v>6000</v>
      </c>
      <c r="G541" s="49">
        <v>12000</v>
      </c>
    </row>
    <row r="542" spans="1:7" x14ac:dyDescent="0.25">
      <c r="A542" s="1">
        <v>237</v>
      </c>
      <c r="B542" s="1">
        <v>2</v>
      </c>
      <c r="C542" s="1" t="s">
        <v>24</v>
      </c>
      <c r="D542" s="1" t="s">
        <v>105</v>
      </c>
      <c r="E542" s="1">
        <v>1</v>
      </c>
      <c r="F542" s="49">
        <v>7000</v>
      </c>
      <c r="G542" s="49">
        <v>7000</v>
      </c>
    </row>
    <row r="543" spans="1:7" x14ac:dyDescent="0.25">
      <c r="A543" s="1">
        <v>237</v>
      </c>
      <c r="B543" s="1">
        <v>3</v>
      </c>
      <c r="C543" s="1" t="s">
        <v>65</v>
      </c>
      <c r="D543" s="1" t="s">
        <v>16</v>
      </c>
      <c r="E543" s="1">
        <v>1</v>
      </c>
      <c r="F543" s="49">
        <v>10000</v>
      </c>
      <c r="G543" s="49">
        <v>10000</v>
      </c>
    </row>
    <row r="544" spans="1:7" x14ac:dyDescent="0.25">
      <c r="A544" s="1">
        <v>237</v>
      </c>
      <c r="B544" s="1">
        <v>4</v>
      </c>
      <c r="C544" s="1" t="s">
        <v>28</v>
      </c>
      <c r="D544" s="1" t="s">
        <v>184</v>
      </c>
      <c r="E544" s="1">
        <v>1</v>
      </c>
      <c r="F544" s="49">
        <v>6000</v>
      </c>
      <c r="G544" s="49">
        <v>6000</v>
      </c>
    </row>
    <row r="545" spans="1:7" x14ac:dyDescent="0.25">
      <c r="A545" s="1">
        <v>238</v>
      </c>
      <c r="B545" s="1">
        <v>1</v>
      </c>
      <c r="C545" s="1" t="s">
        <v>28</v>
      </c>
      <c r="D545" s="1" t="s">
        <v>107</v>
      </c>
      <c r="E545" s="1">
        <v>1</v>
      </c>
      <c r="F545" s="49">
        <v>6000</v>
      </c>
      <c r="G545" s="49">
        <v>6000</v>
      </c>
    </row>
    <row r="546" spans="1:7" x14ac:dyDescent="0.25">
      <c r="A546" s="1">
        <v>238</v>
      </c>
      <c r="B546" s="1">
        <v>2</v>
      </c>
      <c r="C546" s="1" t="s">
        <v>302</v>
      </c>
      <c r="D546" s="1" t="s">
        <v>161</v>
      </c>
      <c r="E546" s="1">
        <v>3</v>
      </c>
      <c r="F546" s="49">
        <v>1200</v>
      </c>
      <c r="G546" s="49">
        <v>3600</v>
      </c>
    </row>
    <row r="547" spans="1:7" x14ac:dyDescent="0.25">
      <c r="A547" s="1">
        <v>238</v>
      </c>
      <c r="B547" s="1">
        <v>3</v>
      </c>
      <c r="C547" s="1" t="s">
        <v>28</v>
      </c>
      <c r="D547" s="1" t="s">
        <v>107</v>
      </c>
      <c r="E547" s="1">
        <v>1</v>
      </c>
      <c r="F547" s="49">
        <v>6000</v>
      </c>
      <c r="G547" s="49">
        <v>6000</v>
      </c>
    </row>
    <row r="548" spans="1:7" x14ac:dyDescent="0.25">
      <c r="A548" s="1">
        <v>239</v>
      </c>
      <c r="B548" s="1">
        <v>1</v>
      </c>
      <c r="C548" s="1" t="s">
        <v>110</v>
      </c>
      <c r="D548" s="1" t="s">
        <v>115</v>
      </c>
      <c r="E548" s="1">
        <v>1</v>
      </c>
      <c r="F548" s="49">
        <v>6000</v>
      </c>
      <c r="G548" s="49">
        <v>6000</v>
      </c>
    </row>
    <row r="549" spans="1:7" x14ac:dyDescent="0.25">
      <c r="A549" s="1">
        <v>240</v>
      </c>
      <c r="B549" s="1">
        <v>1</v>
      </c>
      <c r="C549" s="1" t="s">
        <v>21</v>
      </c>
      <c r="D549" s="1" t="s">
        <v>5</v>
      </c>
      <c r="E549" s="1">
        <v>1</v>
      </c>
      <c r="F549" s="49">
        <v>3000</v>
      </c>
      <c r="G549" s="49">
        <v>3000</v>
      </c>
    </row>
    <row r="550" spans="1:7" x14ac:dyDescent="0.25">
      <c r="A550" s="1">
        <v>240</v>
      </c>
      <c r="B550" s="1">
        <v>2</v>
      </c>
      <c r="C550" s="1" t="s">
        <v>21</v>
      </c>
      <c r="D550" s="1" t="s">
        <v>5</v>
      </c>
      <c r="E550" s="1">
        <v>2</v>
      </c>
      <c r="F550" s="49">
        <v>3000</v>
      </c>
      <c r="G550" s="49">
        <v>6000</v>
      </c>
    </row>
    <row r="551" spans="1:7" x14ac:dyDescent="0.25">
      <c r="A551" s="1">
        <v>240</v>
      </c>
      <c r="B551" s="1">
        <v>3</v>
      </c>
      <c r="C551" s="1" t="s">
        <v>28</v>
      </c>
      <c r="D551" s="1" t="s">
        <v>107</v>
      </c>
      <c r="E551" s="1">
        <v>1</v>
      </c>
      <c r="F551" s="49">
        <v>6000</v>
      </c>
      <c r="G551" s="49">
        <v>6000</v>
      </c>
    </row>
    <row r="552" spans="1:7" x14ac:dyDescent="0.25">
      <c r="A552" s="1">
        <v>240</v>
      </c>
      <c r="B552" s="1">
        <v>4</v>
      </c>
      <c r="C552" s="1" t="s">
        <v>110</v>
      </c>
      <c r="D552" s="1" t="s">
        <v>115</v>
      </c>
      <c r="E552" s="1">
        <v>1</v>
      </c>
      <c r="F552" s="49">
        <v>6000</v>
      </c>
      <c r="G552" s="49">
        <v>6000</v>
      </c>
    </row>
    <row r="553" spans="1:7" x14ac:dyDescent="0.25">
      <c r="A553" s="1">
        <v>241</v>
      </c>
      <c r="B553" s="1">
        <v>1</v>
      </c>
      <c r="C553" s="1" t="s">
        <v>110</v>
      </c>
      <c r="D553" s="1" t="s">
        <v>115</v>
      </c>
      <c r="E553" s="1">
        <v>1</v>
      </c>
      <c r="F553" s="49">
        <v>6000</v>
      </c>
      <c r="G553" s="49">
        <v>6000</v>
      </c>
    </row>
    <row r="554" spans="1:7" ht="30" x14ac:dyDescent="0.25">
      <c r="A554" s="1">
        <v>241</v>
      </c>
      <c r="B554" s="1">
        <v>2</v>
      </c>
      <c r="C554" s="1" t="s">
        <v>113</v>
      </c>
      <c r="D554" s="1" t="s">
        <v>171</v>
      </c>
      <c r="E554" s="1">
        <v>1</v>
      </c>
      <c r="F554" s="49">
        <v>6000</v>
      </c>
      <c r="G554" s="49">
        <v>6000</v>
      </c>
    </row>
    <row r="555" spans="1:7" x14ac:dyDescent="0.25">
      <c r="A555" s="1">
        <v>241</v>
      </c>
      <c r="B555" s="1">
        <v>3</v>
      </c>
      <c r="C555" s="1" t="s">
        <v>65</v>
      </c>
      <c r="D555" s="1" t="s">
        <v>16</v>
      </c>
      <c r="E555" s="1">
        <v>1</v>
      </c>
      <c r="F555" s="49">
        <v>10000</v>
      </c>
      <c r="G555" s="49">
        <v>10000</v>
      </c>
    </row>
    <row r="556" spans="1:7" x14ac:dyDescent="0.25">
      <c r="A556" s="1">
        <v>241</v>
      </c>
      <c r="B556" s="1">
        <v>4</v>
      </c>
      <c r="C556" s="1" t="s">
        <v>65</v>
      </c>
      <c r="D556" s="1" t="s">
        <v>16</v>
      </c>
      <c r="E556" s="1">
        <v>1</v>
      </c>
      <c r="F556" s="49">
        <v>10000</v>
      </c>
      <c r="G556" s="49">
        <v>10000</v>
      </c>
    </row>
    <row r="557" spans="1:7" x14ac:dyDescent="0.25">
      <c r="A557" s="1">
        <v>241</v>
      </c>
      <c r="B557" s="1">
        <v>5</v>
      </c>
      <c r="C557" s="1" t="s">
        <v>242</v>
      </c>
      <c r="D557" s="1" t="s">
        <v>243</v>
      </c>
      <c r="E557" s="1">
        <v>1</v>
      </c>
      <c r="F557" s="49">
        <v>3000</v>
      </c>
      <c r="G557" s="49">
        <v>3000</v>
      </c>
    </row>
    <row r="558" spans="1:7" x14ac:dyDescent="0.25">
      <c r="A558" s="1">
        <v>241</v>
      </c>
      <c r="B558" s="1">
        <v>6</v>
      </c>
      <c r="C558" s="1" t="s">
        <v>127</v>
      </c>
      <c r="D558" s="1" t="s">
        <v>128</v>
      </c>
      <c r="E558" s="1">
        <v>1</v>
      </c>
      <c r="F558" s="49">
        <v>4000</v>
      </c>
      <c r="G558" s="49">
        <v>4000</v>
      </c>
    </row>
    <row r="559" spans="1:7" x14ac:dyDescent="0.25">
      <c r="A559" s="1">
        <v>242</v>
      </c>
      <c r="B559" s="1">
        <v>1</v>
      </c>
      <c r="C559" s="1" t="s">
        <v>65</v>
      </c>
      <c r="D559" s="1" t="s">
        <v>16</v>
      </c>
      <c r="E559" s="1">
        <v>1</v>
      </c>
      <c r="F559" s="49">
        <v>10000</v>
      </c>
      <c r="G559" s="49">
        <v>10000</v>
      </c>
    </row>
    <row r="560" spans="1:7" x14ac:dyDescent="0.25">
      <c r="A560" s="1">
        <v>242</v>
      </c>
      <c r="B560" s="1">
        <v>2</v>
      </c>
      <c r="C560" s="1" t="s">
        <v>110</v>
      </c>
      <c r="D560" s="1" t="s">
        <v>115</v>
      </c>
      <c r="E560" s="1">
        <v>1</v>
      </c>
      <c r="F560" s="49">
        <v>6000</v>
      </c>
      <c r="G560" s="49">
        <v>6000</v>
      </c>
    </row>
    <row r="561" spans="1:7" x14ac:dyDescent="0.25">
      <c r="A561" s="1">
        <v>242</v>
      </c>
      <c r="B561" s="1">
        <v>3</v>
      </c>
      <c r="C561" s="1" t="s">
        <v>27</v>
      </c>
      <c r="D561" s="1" t="s">
        <v>106</v>
      </c>
      <c r="E561" s="1">
        <v>1</v>
      </c>
      <c r="F561" s="49">
        <v>7000</v>
      </c>
      <c r="G561" s="49">
        <v>7000</v>
      </c>
    </row>
    <row r="562" spans="1:7" x14ac:dyDescent="0.25">
      <c r="A562" s="1">
        <v>243</v>
      </c>
      <c r="B562" s="1">
        <v>1</v>
      </c>
      <c r="C562" s="1" t="s">
        <v>182</v>
      </c>
      <c r="D562" s="1" t="s">
        <v>183</v>
      </c>
      <c r="E562" s="1">
        <v>1</v>
      </c>
      <c r="F562" s="49">
        <v>9000</v>
      </c>
      <c r="G562" s="49">
        <v>9000</v>
      </c>
    </row>
    <row r="563" spans="1:7" x14ac:dyDescent="0.25">
      <c r="A563" s="1">
        <v>244</v>
      </c>
      <c r="B563" s="1">
        <v>1</v>
      </c>
      <c r="C563" s="1" t="s">
        <v>112</v>
      </c>
      <c r="D563" s="1" t="s">
        <v>114</v>
      </c>
      <c r="E563" s="1">
        <v>1</v>
      </c>
      <c r="F563" s="49">
        <v>6000</v>
      </c>
      <c r="G563" s="49">
        <v>6000</v>
      </c>
    </row>
    <row r="564" spans="1:7" x14ac:dyDescent="0.25">
      <c r="A564" s="1">
        <v>245</v>
      </c>
      <c r="B564" s="1">
        <v>1</v>
      </c>
      <c r="C564" s="1" t="s">
        <v>65</v>
      </c>
      <c r="D564" s="1" t="s">
        <v>16</v>
      </c>
      <c r="E564" s="1">
        <v>1</v>
      </c>
      <c r="F564" s="49">
        <v>10000</v>
      </c>
      <c r="G564" s="49">
        <v>10000</v>
      </c>
    </row>
    <row r="565" spans="1:7" x14ac:dyDescent="0.25">
      <c r="A565" s="1">
        <v>246</v>
      </c>
      <c r="B565" s="1">
        <v>1</v>
      </c>
      <c r="C565" s="1" t="s">
        <v>24</v>
      </c>
      <c r="D565" s="1" t="s">
        <v>105</v>
      </c>
      <c r="E565" s="1">
        <v>1</v>
      </c>
      <c r="F565" s="49">
        <v>7000</v>
      </c>
      <c r="G565" s="49">
        <v>7000</v>
      </c>
    </row>
    <row r="566" spans="1:7" x14ac:dyDescent="0.25">
      <c r="A566" s="1">
        <v>246</v>
      </c>
      <c r="B566" s="1">
        <v>2</v>
      </c>
      <c r="C566" s="1" t="s">
        <v>112</v>
      </c>
      <c r="D566" s="1" t="s">
        <v>114</v>
      </c>
      <c r="E566" s="1">
        <v>2</v>
      </c>
      <c r="F566" s="49">
        <v>6000</v>
      </c>
      <c r="G566" s="49">
        <v>12000</v>
      </c>
    </row>
    <row r="567" spans="1:7" x14ac:dyDescent="0.25">
      <c r="A567" s="1">
        <v>247</v>
      </c>
      <c r="B567" s="1">
        <v>1</v>
      </c>
      <c r="C567" s="1" t="s">
        <v>24</v>
      </c>
      <c r="D567" s="1" t="s">
        <v>105</v>
      </c>
      <c r="E567" s="1">
        <v>2</v>
      </c>
      <c r="F567" s="49">
        <v>7000</v>
      </c>
      <c r="G567" s="49">
        <v>14000</v>
      </c>
    </row>
    <row r="568" spans="1:7" x14ac:dyDescent="0.25">
      <c r="A568" s="1">
        <v>247</v>
      </c>
      <c r="B568" s="1">
        <v>2</v>
      </c>
      <c r="C568" s="1" t="s">
        <v>65</v>
      </c>
      <c r="D568" s="1" t="s">
        <v>16</v>
      </c>
      <c r="E568" s="1">
        <v>1</v>
      </c>
      <c r="F568" s="49">
        <v>10000</v>
      </c>
      <c r="G568" s="49">
        <v>10000</v>
      </c>
    </row>
    <row r="569" spans="1:7" x14ac:dyDescent="0.25">
      <c r="A569" s="1">
        <v>247</v>
      </c>
      <c r="B569" s="1">
        <v>3</v>
      </c>
      <c r="C569" s="1" t="s">
        <v>24</v>
      </c>
      <c r="D569" s="1" t="s">
        <v>105</v>
      </c>
      <c r="E569" s="1">
        <v>2</v>
      </c>
      <c r="F569" s="49">
        <v>7000</v>
      </c>
      <c r="G569" s="49">
        <v>14000</v>
      </c>
    </row>
    <row r="570" spans="1:7" x14ac:dyDescent="0.25">
      <c r="A570" s="1">
        <v>247</v>
      </c>
      <c r="B570" s="1">
        <v>4</v>
      </c>
      <c r="C570" s="1" t="s">
        <v>24</v>
      </c>
      <c r="D570" s="1" t="s">
        <v>105</v>
      </c>
      <c r="E570" s="1">
        <v>1</v>
      </c>
      <c r="F570" s="49">
        <v>7000</v>
      </c>
      <c r="G570" s="49">
        <v>7000</v>
      </c>
    </row>
    <row r="571" spans="1:7" x14ac:dyDescent="0.25">
      <c r="A571" s="1">
        <v>248</v>
      </c>
      <c r="B571" s="1">
        <v>1</v>
      </c>
      <c r="C571" s="1" t="s">
        <v>112</v>
      </c>
      <c r="D571" s="1" t="s">
        <v>114</v>
      </c>
      <c r="E571" s="1">
        <v>3</v>
      </c>
      <c r="F571" s="49">
        <v>6000</v>
      </c>
      <c r="G571" s="49">
        <v>18000</v>
      </c>
    </row>
    <row r="572" spans="1:7" ht="30" x14ac:dyDescent="0.25">
      <c r="A572" s="1">
        <v>248</v>
      </c>
      <c r="B572" s="1">
        <v>2</v>
      </c>
      <c r="C572" s="1" t="s">
        <v>113</v>
      </c>
      <c r="D572" s="1" t="s">
        <v>171</v>
      </c>
      <c r="E572" s="1">
        <v>1</v>
      </c>
      <c r="F572" s="49">
        <v>6000</v>
      </c>
      <c r="G572" s="49">
        <v>6000</v>
      </c>
    </row>
    <row r="573" spans="1:7" x14ac:dyDescent="0.25">
      <c r="A573" s="1">
        <v>248</v>
      </c>
      <c r="B573" s="1">
        <v>3</v>
      </c>
      <c r="C573" s="1" t="s">
        <v>10</v>
      </c>
      <c r="D573" s="1" t="s">
        <v>15</v>
      </c>
      <c r="E573" s="1">
        <v>2</v>
      </c>
      <c r="F573" s="49">
        <v>10000</v>
      </c>
      <c r="G573" s="49">
        <v>20000</v>
      </c>
    </row>
    <row r="574" spans="1:7" x14ac:dyDescent="0.25">
      <c r="A574" s="1">
        <v>248</v>
      </c>
      <c r="B574" s="1">
        <v>4</v>
      </c>
      <c r="C574" s="1" t="s">
        <v>65</v>
      </c>
      <c r="D574" s="1" t="s">
        <v>16</v>
      </c>
      <c r="E574" s="1">
        <v>2</v>
      </c>
      <c r="F574" s="49">
        <v>10000</v>
      </c>
      <c r="G574" s="49">
        <v>20000</v>
      </c>
    </row>
    <row r="575" spans="1:7" x14ac:dyDescent="0.25">
      <c r="A575" s="1">
        <v>249</v>
      </c>
      <c r="B575" s="1">
        <v>1</v>
      </c>
      <c r="C575" s="1" t="s">
        <v>110</v>
      </c>
      <c r="D575" s="1" t="s">
        <v>115</v>
      </c>
      <c r="E575" s="1">
        <v>2</v>
      </c>
      <c r="F575" s="49">
        <v>6000</v>
      </c>
      <c r="G575" s="49">
        <v>12000</v>
      </c>
    </row>
    <row r="576" spans="1:7" x14ac:dyDescent="0.25">
      <c r="A576" s="1">
        <v>249</v>
      </c>
      <c r="B576" s="1">
        <v>2</v>
      </c>
      <c r="C576" s="1" t="s">
        <v>24</v>
      </c>
      <c r="D576" s="1" t="s">
        <v>105</v>
      </c>
      <c r="E576" s="1">
        <v>1</v>
      </c>
      <c r="F576" s="49">
        <v>7000</v>
      </c>
      <c r="G576" s="49">
        <v>7000</v>
      </c>
    </row>
    <row r="577" spans="1:7" x14ac:dyDescent="0.25">
      <c r="A577" s="1">
        <v>249</v>
      </c>
      <c r="B577" s="1">
        <v>3</v>
      </c>
      <c r="C577" s="1" t="s">
        <v>24</v>
      </c>
      <c r="D577" s="1" t="s">
        <v>105</v>
      </c>
      <c r="E577" s="1">
        <v>1</v>
      </c>
      <c r="F577" s="49">
        <v>7000</v>
      </c>
      <c r="G577" s="49">
        <v>7000</v>
      </c>
    </row>
    <row r="578" spans="1:7" x14ac:dyDescent="0.25">
      <c r="A578" s="1">
        <v>249</v>
      </c>
      <c r="B578" s="1">
        <v>4</v>
      </c>
      <c r="C578" s="1" t="s">
        <v>437</v>
      </c>
      <c r="D578" s="1" t="s">
        <v>435</v>
      </c>
      <c r="E578" s="1">
        <v>2</v>
      </c>
      <c r="F578" s="49">
        <v>6000</v>
      </c>
      <c r="G578" s="49">
        <v>12000</v>
      </c>
    </row>
    <row r="579" spans="1:7" x14ac:dyDescent="0.25">
      <c r="A579" s="1">
        <v>250</v>
      </c>
      <c r="B579" s="1">
        <v>1</v>
      </c>
      <c r="C579" s="1" t="s">
        <v>186</v>
      </c>
      <c r="D579" s="1" t="s">
        <v>187</v>
      </c>
      <c r="E579" s="1">
        <v>1</v>
      </c>
      <c r="F579" s="49">
        <v>3000</v>
      </c>
      <c r="G579" s="49">
        <v>3000</v>
      </c>
    </row>
    <row r="580" spans="1:7" x14ac:dyDescent="0.25">
      <c r="A580" s="1">
        <v>250</v>
      </c>
      <c r="B580" s="1">
        <v>2</v>
      </c>
      <c r="C580" s="1" t="s">
        <v>24</v>
      </c>
      <c r="D580" s="1" t="s">
        <v>105</v>
      </c>
      <c r="E580" s="1">
        <v>2</v>
      </c>
      <c r="F580" s="49">
        <v>7000</v>
      </c>
      <c r="G580" s="49">
        <v>14000</v>
      </c>
    </row>
    <row r="581" spans="1:7" ht="30" x14ac:dyDescent="0.25">
      <c r="A581" s="1">
        <v>251</v>
      </c>
      <c r="B581" s="1">
        <v>1</v>
      </c>
      <c r="C581" s="1" t="s">
        <v>113</v>
      </c>
      <c r="D581" s="1" t="s">
        <v>171</v>
      </c>
      <c r="E581" s="1">
        <v>1</v>
      </c>
      <c r="F581" s="49">
        <v>6000</v>
      </c>
      <c r="G581" s="49">
        <v>6000</v>
      </c>
    </row>
    <row r="582" spans="1:7" x14ac:dyDescent="0.25">
      <c r="A582" s="1">
        <v>251</v>
      </c>
      <c r="B582" s="1">
        <v>2</v>
      </c>
      <c r="C582" s="1" t="s">
        <v>10</v>
      </c>
      <c r="D582" s="1" t="s">
        <v>15</v>
      </c>
      <c r="E582" s="1">
        <v>1</v>
      </c>
      <c r="F582" s="49">
        <v>10000</v>
      </c>
      <c r="G582" s="49">
        <v>10000</v>
      </c>
    </row>
    <row r="583" spans="1:7" x14ac:dyDescent="0.25">
      <c r="A583" s="1">
        <v>251</v>
      </c>
      <c r="B583" s="1">
        <v>3</v>
      </c>
      <c r="C583" s="1" t="s">
        <v>437</v>
      </c>
      <c r="D583" s="1" t="s">
        <v>435</v>
      </c>
      <c r="E583" s="1">
        <v>1</v>
      </c>
      <c r="F583" s="49">
        <v>6000</v>
      </c>
      <c r="G583" s="49">
        <v>6000</v>
      </c>
    </row>
    <row r="584" spans="1:7" ht="30" x14ac:dyDescent="0.25">
      <c r="A584" s="1">
        <v>252</v>
      </c>
      <c r="B584" s="1">
        <v>1</v>
      </c>
      <c r="C584" s="1" t="s">
        <v>113</v>
      </c>
      <c r="D584" s="1" t="s">
        <v>171</v>
      </c>
      <c r="E584" s="1">
        <v>1</v>
      </c>
      <c r="F584" s="49">
        <v>6000</v>
      </c>
      <c r="G584" s="49">
        <v>6000</v>
      </c>
    </row>
    <row r="585" spans="1:7" x14ac:dyDescent="0.25">
      <c r="A585" s="1">
        <v>252</v>
      </c>
      <c r="B585" s="1">
        <v>2</v>
      </c>
      <c r="C585" s="1" t="s">
        <v>10</v>
      </c>
      <c r="D585" s="1" t="s">
        <v>15</v>
      </c>
      <c r="E585" s="1">
        <v>1</v>
      </c>
      <c r="F585" s="49">
        <v>10000</v>
      </c>
      <c r="G585" s="49">
        <v>10000</v>
      </c>
    </row>
    <row r="586" spans="1:7" x14ac:dyDescent="0.25">
      <c r="A586" s="1">
        <v>253</v>
      </c>
      <c r="B586" s="1">
        <v>1</v>
      </c>
      <c r="C586" s="1" t="s">
        <v>28</v>
      </c>
      <c r="D586" s="1" t="s">
        <v>107</v>
      </c>
      <c r="E586" s="1">
        <v>4</v>
      </c>
      <c r="F586" s="49">
        <v>6000</v>
      </c>
      <c r="G586" s="49">
        <v>24000</v>
      </c>
    </row>
    <row r="587" spans="1:7" x14ac:dyDescent="0.25">
      <c r="A587" s="1">
        <v>253</v>
      </c>
      <c r="B587" s="1">
        <v>3</v>
      </c>
      <c r="C587" s="1" t="s">
        <v>437</v>
      </c>
      <c r="D587" s="1" t="s">
        <v>435</v>
      </c>
      <c r="E587" s="1">
        <v>1</v>
      </c>
      <c r="F587" s="49">
        <v>6000</v>
      </c>
      <c r="G587" s="49">
        <v>6000</v>
      </c>
    </row>
    <row r="588" spans="1:7" x14ac:dyDescent="0.25">
      <c r="A588" s="1">
        <v>254</v>
      </c>
      <c r="B588" s="1">
        <v>1</v>
      </c>
      <c r="C588" s="1" t="s">
        <v>28</v>
      </c>
      <c r="D588" s="1" t="s">
        <v>107</v>
      </c>
      <c r="E588" s="1">
        <v>2</v>
      </c>
      <c r="F588" s="49">
        <v>6000</v>
      </c>
      <c r="G588" s="49">
        <v>12000</v>
      </c>
    </row>
    <row r="589" spans="1:7" x14ac:dyDescent="0.25">
      <c r="A589" s="1">
        <v>254</v>
      </c>
      <c r="B589" s="1">
        <v>2</v>
      </c>
      <c r="C589" s="1" t="s">
        <v>28</v>
      </c>
      <c r="D589" s="1" t="s">
        <v>107</v>
      </c>
      <c r="E589" s="1">
        <v>2</v>
      </c>
      <c r="F589" s="49">
        <v>6000</v>
      </c>
      <c r="G589" s="49">
        <v>12000</v>
      </c>
    </row>
    <row r="590" spans="1:7" x14ac:dyDescent="0.25">
      <c r="A590" s="1">
        <v>254</v>
      </c>
      <c r="B590" s="1">
        <v>3</v>
      </c>
      <c r="C590" s="1" t="s">
        <v>437</v>
      </c>
      <c r="D590" s="1" t="s">
        <v>435</v>
      </c>
      <c r="E590" s="1">
        <v>2</v>
      </c>
      <c r="F590" s="49">
        <v>6000</v>
      </c>
      <c r="G590" s="49">
        <v>12000</v>
      </c>
    </row>
    <row r="591" spans="1:7" x14ac:dyDescent="0.25">
      <c r="A591" s="1">
        <v>254</v>
      </c>
      <c r="B591" s="1">
        <v>4</v>
      </c>
      <c r="C591" s="1" t="s">
        <v>28</v>
      </c>
      <c r="D591" s="1" t="s">
        <v>107</v>
      </c>
      <c r="E591" s="1">
        <v>1</v>
      </c>
      <c r="F591" s="49">
        <v>6000</v>
      </c>
      <c r="G591" s="49">
        <v>6000</v>
      </c>
    </row>
    <row r="592" spans="1:7" x14ac:dyDescent="0.25">
      <c r="A592" s="1">
        <v>255</v>
      </c>
      <c r="B592" s="1">
        <v>1</v>
      </c>
      <c r="C592" s="1" t="s">
        <v>10</v>
      </c>
      <c r="D592" s="1" t="s">
        <v>15</v>
      </c>
      <c r="E592" s="1">
        <v>1</v>
      </c>
      <c r="F592" s="49">
        <v>10000</v>
      </c>
      <c r="G592" s="49">
        <v>10000</v>
      </c>
    </row>
    <row r="593" spans="1:7" ht="30" x14ac:dyDescent="0.25">
      <c r="A593" s="1">
        <v>255</v>
      </c>
      <c r="B593" s="1">
        <v>2</v>
      </c>
      <c r="C593" s="1" t="s">
        <v>113</v>
      </c>
      <c r="D593" s="1" t="s">
        <v>171</v>
      </c>
      <c r="E593" s="1">
        <v>2</v>
      </c>
      <c r="F593" s="49">
        <v>6000</v>
      </c>
      <c r="G593" s="49">
        <v>12000</v>
      </c>
    </row>
    <row r="594" spans="1:7" ht="30" x14ac:dyDescent="0.25">
      <c r="A594" s="1">
        <v>255</v>
      </c>
      <c r="B594" s="1">
        <v>3</v>
      </c>
      <c r="C594" s="1" t="s">
        <v>113</v>
      </c>
      <c r="D594" s="1" t="s">
        <v>171</v>
      </c>
      <c r="E594" s="1">
        <v>1</v>
      </c>
      <c r="F594" s="49">
        <v>6000</v>
      </c>
      <c r="G594" s="49">
        <v>6000</v>
      </c>
    </row>
    <row r="595" spans="1:7" x14ac:dyDescent="0.25">
      <c r="A595" s="1">
        <v>255</v>
      </c>
      <c r="B595" s="1">
        <v>4</v>
      </c>
      <c r="C595" s="1" t="s">
        <v>65</v>
      </c>
      <c r="D595" s="1" t="s">
        <v>16</v>
      </c>
      <c r="E595" s="1">
        <v>1</v>
      </c>
      <c r="F595" s="49">
        <v>10000</v>
      </c>
      <c r="G595" s="49">
        <v>10000</v>
      </c>
    </row>
    <row r="596" spans="1:7" x14ac:dyDescent="0.25">
      <c r="A596" s="1">
        <v>255</v>
      </c>
      <c r="B596" s="1">
        <v>5</v>
      </c>
      <c r="C596" s="1" t="s">
        <v>437</v>
      </c>
      <c r="D596" s="1" t="s">
        <v>435</v>
      </c>
      <c r="E596" s="1">
        <v>2</v>
      </c>
      <c r="F596" s="49">
        <v>6000</v>
      </c>
      <c r="G596" s="49">
        <v>12000</v>
      </c>
    </row>
    <row r="597" spans="1:7" x14ac:dyDescent="0.25">
      <c r="A597" s="1">
        <v>256</v>
      </c>
      <c r="B597" s="1">
        <v>1</v>
      </c>
      <c r="C597" s="1" t="s">
        <v>24</v>
      </c>
      <c r="D597" s="1" t="s">
        <v>105</v>
      </c>
      <c r="E597" s="1">
        <v>1</v>
      </c>
      <c r="F597" s="49">
        <v>7000</v>
      </c>
      <c r="G597" s="49">
        <v>7000</v>
      </c>
    </row>
    <row r="598" spans="1:7" x14ac:dyDescent="0.25">
      <c r="A598" s="1">
        <v>256</v>
      </c>
      <c r="B598" s="1">
        <v>2</v>
      </c>
      <c r="C598" s="1" t="s">
        <v>110</v>
      </c>
      <c r="D598" s="1" t="s">
        <v>115</v>
      </c>
      <c r="E598" s="1">
        <v>1</v>
      </c>
      <c r="F598" s="49">
        <v>6000</v>
      </c>
      <c r="G598" s="49">
        <v>6000</v>
      </c>
    </row>
    <row r="599" spans="1:7" x14ac:dyDescent="0.25">
      <c r="A599" s="1">
        <v>256</v>
      </c>
      <c r="B599" s="1">
        <v>3</v>
      </c>
      <c r="C599" s="1" t="s">
        <v>186</v>
      </c>
      <c r="D599" s="1" t="s">
        <v>187</v>
      </c>
      <c r="E599" s="1">
        <v>1</v>
      </c>
      <c r="F599" s="49">
        <v>3000</v>
      </c>
      <c r="G599" s="49">
        <v>3000</v>
      </c>
    </row>
    <row r="600" spans="1:7" x14ac:dyDescent="0.25">
      <c r="A600" s="1">
        <v>256</v>
      </c>
      <c r="B600" s="1">
        <v>4</v>
      </c>
      <c r="C600" s="1" t="s">
        <v>437</v>
      </c>
      <c r="D600" s="1" t="s">
        <v>435</v>
      </c>
      <c r="E600" s="1">
        <v>1</v>
      </c>
      <c r="F600" s="49">
        <v>6000</v>
      </c>
      <c r="G600" s="49">
        <v>6000</v>
      </c>
    </row>
    <row r="601" spans="1:7" x14ac:dyDescent="0.25">
      <c r="A601" s="1">
        <v>257</v>
      </c>
      <c r="B601" s="1">
        <v>1</v>
      </c>
      <c r="C601" s="1" t="s">
        <v>24</v>
      </c>
      <c r="D601" s="1" t="s">
        <v>105</v>
      </c>
      <c r="E601" s="1">
        <v>2</v>
      </c>
      <c r="F601" s="49">
        <v>7000</v>
      </c>
      <c r="G601" s="49">
        <v>14000</v>
      </c>
    </row>
    <row r="602" spans="1:7" x14ac:dyDescent="0.25">
      <c r="A602" s="1">
        <v>257</v>
      </c>
      <c r="B602" s="1">
        <v>2</v>
      </c>
      <c r="C602" s="1" t="s">
        <v>301</v>
      </c>
      <c r="D602" s="1" t="s">
        <v>191</v>
      </c>
      <c r="E602" s="1">
        <v>2</v>
      </c>
      <c r="F602" s="49">
        <v>3000</v>
      </c>
      <c r="G602" s="49">
        <v>6000</v>
      </c>
    </row>
    <row r="603" spans="1:7" x14ac:dyDescent="0.25">
      <c r="A603" s="1">
        <v>257</v>
      </c>
      <c r="B603" s="1">
        <v>3</v>
      </c>
      <c r="C603" s="1" t="s">
        <v>437</v>
      </c>
      <c r="D603" s="1" t="s">
        <v>435</v>
      </c>
      <c r="E603" s="1">
        <v>1</v>
      </c>
      <c r="F603" s="49">
        <v>6000</v>
      </c>
      <c r="G603" s="49">
        <v>6000</v>
      </c>
    </row>
    <row r="604" spans="1:7" x14ac:dyDescent="0.25">
      <c r="A604" s="1">
        <v>258</v>
      </c>
      <c r="B604" s="1">
        <v>1</v>
      </c>
      <c r="C604" s="1" t="s">
        <v>24</v>
      </c>
      <c r="D604" s="1" t="s">
        <v>105</v>
      </c>
      <c r="E604" s="1">
        <v>1</v>
      </c>
      <c r="F604" s="49">
        <v>7000</v>
      </c>
      <c r="G604" s="49">
        <v>7000</v>
      </c>
    </row>
    <row r="605" spans="1:7" x14ac:dyDescent="0.25">
      <c r="A605" s="1">
        <v>258</v>
      </c>
      <c r="B605" s="1">
        <v>2</v>
      </c>
      <c r="C605" s="1" t="s">
        <v>28</v>
      </c>
      <c r="D605" s="1" t="s">
        <v>107</v>
      </c>
      <c r="E605" s="1">
        <v>3</v>
      </c>
      <c r="F605" s="49">
        <v>6000</v>
      </c>
      <c r="G605" s="49">
        <v>18000</v>
      </c>
    </row>
    <row r="606" spans="1:7" x14ac:dyDescent="0.25">
      <c r="A606" s="1">
        <v>258</v>
      </c>
      <c r="B606" s="1">
        <v>3</v>
      </c>
      <c r="C606" s="1" t="s">
        <v>301</v>
      </c>
      <c r="D606" s="1" t="s">
        <v>191</v>
      </c>
      <c r="E606" s="1">
        <v>3</v>
      </c>
      <c r="F606" s="49">
        <v>3000</v>
      </c>
      <c r="G606" s="49">
        <v>9000</v>
      </c>
    </row>
    <row r="607" spans="1:7" x14ac:dyDescent="0.25">
      <c r="A607" s="1">
        <v>258</v>
      </c>
      <c r="B607" s="1">
        <v>4</v>
      </c>
      <c r="C607" s="1" t="s">
        <v>437</v>
      </c>
      <c r="D607" s="1" t="s">
        <v>435</v>
      </c>
      <c r="E607" s="1">
        <v>1</v>
      </c>
      <c r="F607" s="49">
        <v>6000</v>
      </c>
      <c r="G607" s="49">
        <v>6000</v>
      </c>
    </row>
    <row r="608" spans="1:7" x14ac:dyDescent="0.25">
      <c r="A608" s="1">
        <v>259</v>
      </c>
      <c r="B608" s="1">
        <v>1</v>
      </c>
      <c r="C608" s="1" t="s">
        <v>24</v>
      </c>
      <c r="D608" s="1" t="s">
        <v>105</v>
      </c>
      <c r="E608" s="1">
        <v>1</v>
      </c>
      <c r="F608" s="49">
        <v>7000</v>
      </c>
      <c r="G608" s="49">
        <v>7000</v>
      </c>
    </row>
    <row r="609" spans="1:7" x14ac:dyDescent="0.25">
      <c r="A609" s="1">
        <v>259</v>
      </c>
      <c r="B609" s="1">
        <v>2</v>
      </c>
      <c r="C609" s="1" t="s">
        <v>28</v>
      </c>
      <c r="D609" s="1" t="s">
        <v>107</v>
      </c>
      <c r="E609" s="1">
        <v>2</v>
      </c>
      <c r="F609" s="49">
        <v>6000</v>
      </c>
      <c r="G609" s="49">
        <v>12000</v>
      </c>
    </row>
    <row r="610" spans="1:7" x14ac:dyDescent="0.25">
      <c r="A610" s="1">
        <v>259</v>
      </c>
      <c r="B610" s="1">
        <v>3</v>
      </c>
      <c r="C610" s="1" t="s">
        <v>437</v>
      </c>
      <c r="D610" s="1" t="s">
        <v>435</v>
      </c>
      <c r="E610" s="1">
        <v>1</v>
      </c>
      <c r="F610" s="49">
        <v>6000</v>
      </c>
      <c r="G610" s="49">
        <v>6000</v>
      </c>
    </row>
    <row r="611" spans="1:7" x14ac:dyDescent="0.25">
      <c r="A611" s="1">
        <v>260</v>
      </c>
      <c r="B611" s="1">
        <v>1</v>
      </c>
      <c r="C611" s="1" t="s">
        <v>24</v>
      </c>
      <c r="D611" s="1" t="s">
        <v>105</v>
      </c>
      <c r="E611" s="1">
        <v>2</v>
      </c>
      <c r="F611" s="49">
        <v>7000</v>
      </c>
      <c r="G611" s="49">
        <v>14000</v>
      </c>
    </row>
    <row r="612" spans="1:7" x14ac:dyDescent="0.25">
      <c r="A612" s="1">
        <v>260</v>
      </c>
      <c r="B612" s="1">
        <v>2</v>
      </c>
      <c r="C612" s="1" t="s">
        <v>28</v>
      </c>
      <c r="D612" s="1" t="s">
        <v>107</v>
      </c>
      <c r="E612" s="1">
        <v>2</v>
      </c>
      <c r="F612" s="49">
        <v>6000</v>
      </c>
      <c r="G612" s="49">
        <v>12000</v>
      </c>
    </row>
    <row r="613" spans="1:7" x14ac:dyDescent="0.25">
      <c r="A613" s="1">
        <v>260</v>
      </c>
      <c r="B613" s="1">
        <v>3</v>
      </c>
      <c r="C613" s="1" t="s">
        <v>437</v>
      </c>
      <c r="D613" s="1" t="s">
        <v>435</v>
      </c>
      <c r="E613" s="1">
        <v>1</v>
      </c>
      <c r="F613" s="49">
        <v>6000</v>
      </c>
      <c r="G613" s="49">
        <v>6000</v>
      </c>
    </row>
    <row r="614" spans="1:7" x14ac:dyDescent="0.25">
      <c r="A614" s="1">
        <v>261</v>
      </c>
      <c r="B614" s="1">
        <v>1</v>
      </c>
      <c r="C614" s="1" t="s">
        <v>65</v>
      </c>
      <c r="D614" s="1" t="s">
        <v>16</v>
      </c>
      <c r="E614" s="1">
        <v>1</v>
      </c>
      <c r="F614" s="58">
        <v>10000</v>
      </c>
      <c r="G614" s="58">
        <v>10000</v>
      </c>
    </row>
    <row r="615" spans="1:7" ht="30" x14ac:dyDescent="0.25">
      <c r="A615" s="1">
        <v>261</v>
      </c>
      <c r="B615" s="1">
        <v>2</v>
      </c>
      <c r="C615" s="1" t="s">
        <v>113</v>
      </c>
      <c r="D615" s="1" t="s">
        <v>171</v>
      </c>
      <c r="E615" s="1">
        <v>1</v>
      </c>
      <c r="F615" s="58">
        <v>6000</v>
      </c>
      <c r="G615" s="58">
        <v>6000</v>
      </c>
    </row>
    <row r="616" spans="1:7" x14ac:dyDescent="0.25">
      <c r="A616" s="1">
        <v>261</v>
      </c>
      <c r="B616" s="1">
        <v>3</v>
      </c>
      <c r="C616" s="1" t="s">
        <v>110</v>
      </c>
      <c r="D616" s="1" t="s">
        <v>115</v>
      </c>
      <c r="E616" s="1">
        <v>1</v>
      </c>
      <c r="F616" s="58">
        <v>6000</v>
      </c>
      <c r="G616" s="58">
        <v>6000</v>
      </c>
    </row>
    <row r="617" spans="1:7" x14ac:dyDescent="0.25">
      <c r="A617" s="1">
        <v>261</v>
      </c>
      <c r="B617" s="1">
        <v>4</v>
      </c>
      <c r="C617" s="1" t="s">
        <v>437</v>
      </c>
      <c r="D617" s="1" t="s">
        <v>435</v>
      </c>
      <c r="E617" s="1">
        <v>1</v>
      </c>
      <c r="F617" s="49">
        <v>6000</v>
      </c>
      <c r="G617" s="49">
        <v>6000</v>
      </c>
    </row>
    <row r="618" spans="1:7" x14ac:dyDescent="0.25">
      <c r="A618" s="1">
        <v>262</v>
      </c>
      <c r="B618" s="1">
        <v>1</v>
      </c>
      <c r="C618" s="1" t="s">
        <v>24</v>
      </c>
      <c r="D618" s="1" t="s">
        <v>105</v>
      </c>
      <c r="E618" s="1">
        <v>2</v>
      </c>
      <c r="F618" s="49">
        <v>7000</v>
      </c>
      <c r="G618" s="49">
        <v>14000</v>
      </c>
    </row>
    <row r="619" spans="1:7" x14ac:dyDescent="0.25">
      <c r="A619" s="1">
        <v>262</v>
      </c>
      <c r="B619" s="1">
        <v>2</v>
      </c>
      <c r="C619" s="1" t="s">
        <v>186</v>
      </c>
      <c r="D619" s="1" t="s">
        <v>187</v>
      </c>
      <c r="E619" s="1">
        <v>1</v>
      </c>
      <c r="F619" s="58">
        <v>3000</v>
      </c>
      <c r="G619" s="58">
        <v>3000</v>
      </c>
    </row>
    <row r="620" spans="1:7" x14ac:dyDescent="0.25">
      <c r="A620" s="1">
        <v>262</v>
      </c>
      <c r="B620" s="1">
        <v>3</v>
      </c>
      <c r="C620" s="1" t="s">
        <v>437</v>
      </c>
      <c r="D620" s="1" t="s">
        <v>435</v>
      </c>
      <c r="E620" s="1">
        <v>1</v>
      </c>
      <c r="F620" s="49">
        <v>6000</v>
      </c>
      <c r="G620" s="49">
        <v>6000</v>
      </c>
    </row>
    <row r="621" spans="1:7" x14ac:dyDescent="0.25">
      <c r="A621" s="1">
        <v>263</v>
      </c>
      <c r="B621" s="1">
        <v>1</v>
      </c>
      <c r="C621" s="1" t="s">
        <v>65</v>
      </c>
      <c r="D621" s="1" t="s">
        <v>16</v>
      </c>
      <c r="E621" s="1">
        <v>1</v>
      </c>
      <c r="F621" s="58">
        <v>10000</v>
      </c>
      <c r="G621" s="58">
        <v>20000</v>
      </c>
    </row>
    <row r="622" spans="1:7" x14ac:dyDescent="0.25">
      <c r="A622" s="1">
        <v>263</v>
      </c>
      <c r="B622" s="1">
        <v>2</v>
      </c>
      <c r="C622" s="1" t="s">
        <v>24</v>
      </c>
      <c r="D622" s="1" t="s">
        <v>105</v>
      </c>
      <c r="E622" s="1">
        <v>3</v>
      </c>
      <c r="F622" s="49">
        <v>7000</v>
      </c>
      <c r="G622" s="49">
        <v>21000</v>
      </c>
    </row>
    <row r="623" spans="1:7" x14ac:dyDescent="0.25">
      <c r="A623" s="1">
        <v>263</v>
      </c>
      <c r="B623" s="1">
        <v>3</v>
      </c>
      <c r="C623" s="1" t="s">
        <v>437</v>
      </c>
      <c r="D623" s="1" t="s">
        <v>435</v>
      </c>
      <c r="E623" s="1">
        <v>1</v>
      </c>
      <c r="F623" s="49">
        <v>6000</v>
      </c>
      <c r="G623" s="49">
        <v>6000</v>
      </c>
    </row>
    <row r="624" spans="1:7" x14ac:dyDescent="0.25">
      <c r="A624" s="1">
        <v>264</v>
      </c>
      <c r="B624" s="1">
        <v>1</v>
      </c>
      <c r="C624" s="1" t="s">
        <v>28</v>
      </c>
      <c r="D624" s="1" t="s">
        <v>107</v>
      </c>
      <c r="E624" s="1">
        <v>1</v>
      </c>
      <c r="F624" s="49">
        <v>6000</v>
      </c>
      <c r="G624" s="49">
        <v>6000</v>
      </c>
    </row>
    <row r="625" spans="1:7" x14ac:dyDescent="0.25">
      <c r="A625" s="1">
        <v>264</v>
      </c>
      <c r="B625" s="1">
        <v>2</v>
      </c>
      <c r="C625" s="1" t="s">
        <v>110</v>
      </c>
      <c r="D625" s="1" t="s">
        <v>115</v>
      </c>
      <c r="E625" s="1">
        <v>1</v>
      </c>
      <c r="F625" s="58">
        <v>6000</v>
      </c>
      <c r="G625" s="58">
        <v>6000</v>
      </c>
    </row>
    <row r="626" spans="1:7" x14ac:dyDescent="0.25">
      <c r="A626" s="1">
        <v>264</v>
      </c>
      <c r="B626" s="1">
        <v>3</v>
      </c>
      <c r="C626" s="1" t="s">
        <v>437</v>
      </c>
      <c r="D626" s="1" t="s">
        <v>435</v>
      </c>
      <c r="E626" s="1">
        <v>1</v>
      </c>
      <c r="F626" s="49">
        <v>6000</v>
      </c>
      <c r="G626" s="49">
        <v>6000</v>
      </c>
    </row>
    <row r="627" spans="1:7" x14ac:dyDescent="0.25">
      <c r="A627" s="1">
        <v>265</v>
      </c>
      <c r="B627" s="1">
        <v>1</v>
      </c>
      <c r="C627" s="1" t="s">
        <v>28</v>
      </c>
      <c r="D627" s="1" t="s">
        <v>107</v>
      </c>
      <c r="E627" s="1">
        <v>4</v>
      </c>
      <c r="F627" s="49">
        <v>6000</v>
      </c>
      <c r="G627" s="49">
        <v>24000</v>
      </c>
    </row>
    <row r="628" spans="1:7" x14ac:dyDescent="0.25">
      <c r="A628" s="1">
        <v>265</v>
      </c>
      <c r="B628" s="1">
        <v>2</v>
      </c>
      <c r="C628" s="1" t="s">
        <v>302</v>
      </c>
      <c r="D628" s="1" t="s">
        <v>161</v>
      </c>
      <c r="E628" s="1">
        <v>3</v>
      </c>
      <c r="F628" s="49">
        <v>1200</v>
      </c>
      <c r="G628" s="49">
        <v>3600</v>
      </c>
    </row>
    <row r="629" spans="1:7" x14ac:dyDescent="0.25">
      <c r="A629" s="1">
        <v>266</v>
      </c>
      <c r="B629" s="1">
        <v>1</v>
      </c>
      <c r="C629" s="1" t="s">
        <v>28</v>
      </c>
      <c r="D629" s="1" t="s">
        <v>107</v>
      </c>
      <c r="E629" s="1">
        <v>1</v>
      </c>
      <c r="F629" s="49">
        <v>6000</v>
      </c>
      <c r="G629" s="49">
        <v>6000</v>
      </c>
    </row>
    <row r="630" spans="1:7" x14ac:dyDescent="0.25">
      <c r="A630" s="1">
        <v>266</v>
      </c>
      <c r="B630" s="1">
        <v>2</v>
      </c>
      <c r="C630" s="1" t="s">
        <v>906</v>
      </c>
      <c r="D630" s="4" t="s">
        <v>905</v>
      </c>
      <c r="E630" s="1">
        <v>1</v>
      </c>
      <c r="F630" s="58">
        <v>7000</v>
      </c>
      <c r="G630" s="58">
        <v>7000</v>
      </c>
    </row>
    <row r="631" spans="1:7" x14ac:dyDescent="0.25">
      <c r="A631" s="1">
        <v>267</v>
      </c>
      <c r="B631" s="1">
        <v>1</v>
      </c>
      <c r="C631" s="1" t="s">
        <v>28</v>
      </c>
      <c r="D631" s="1" t="s">
        <v>107</v>
      </c>
      <c r="E631" s="1">
        <v>1</v>
      </c>
      <c r="F631" s="49">
        <v>6000</v>
      </c>
      <c r="G631" s="49">
        <v>6000</v>
      </c>
    </row>
    <row r="632" spans="1:7" x14ac:dyDescent="0.25">
      <c r="A632" s="1">
        <v>267</v>
      </c>
      <c r="B632" s="1">
        <v>2</v>
      </c>
      <c r="C632" s="1" t="s">
        <v>10</v>
      </c>
      <c r="D632" s="1" t="s">
        <v>15</v>
      </c>
      <c r="E632" s="1">
        <v>1</v>
      </c>
      <c r="F632" s="49">
        <v>10000</v>
      </c>
      <c r="G632" s="49">
        <v>10000</v>
      </c>
    </row>
    <row r="633" spans="1:7" x14ac:dyDescent="0.25">
      <c r="A633" s="1">
        <v>268</v>
      </c>
      <c r="B633" s="1">
        <v>1</v>
      </c>
      <c r="C633" s="1" t="s">
        <v>65</v>
      </c>
      <c r="D633" s="1" t="s">
        <v>16</v>
      </c>
      <c r="E633" s="1">
        <v>1</v>
      </c>
      <c r="F633" s="58">
        <v>10000</v>
      </c>
      <c r="G633" s="58">
        <v>10000</v>
      </c>
    </row>
    <row r="634" spans="1:7" ht="30" x14ac:dyDescent="0.25">
      <c r="A634" s="1">
        <v>268</v>
      </c>
      <c r="B634" s="1">
        <v>2</v>
      </c>
      <c r="C634" s="1" t="s">
        <v>113</v>
      </c>
      <c r="D634" s="1" t="s">
        <v>171</v>
      </c>
      <c r="E634" s="1">
        <v>1</v>
      </c>
      <c r="F634" s="58">
        <v>6000</v>
      </c>
      <c r="G634" s="58">
        <v>6000</v>
      </c>
    </row>
    <row r="635" spans="1:7" x14ac:dyDescent="0.25">
      <c r="A635" s="1">
        <v>268</v>
      </c>
      <c r="B635" s="1">
        <v>3</v>
      </c>
      <c r="C635" s="1" t="s">
        <v>437</v>
      </c>
      <c r="D635" s="1" t="s">
        <v>435</v>
      </c>
      <c r="E635" s="1">
        <v>2</v>
      </c>
      <c r="F635" s="49">
        <v>6000</v>
      </c>
      <c r="G635" s="49">
        <v>12000</v>
      </c>
    </row>
    <row r="636" spans="1:7" x14ac:dyDescent="0.25">
      <c r="A636" s="1">
        <v>269</v>
      </c>
      <c r="B636" s="1">
        <v>1</v>
      </c>
      <c r="C636" s="1" t="s">
        <v>26</v>
      </c>
      <c r="D636" s="1" t="s">
        <v>14</v>
      </c>
      <c r="E636" s="1">
        <v>1</v>
      </c>
      <c r="F636" s="58">
        <v>7000</v>
      </c>
      <c r="G636" s="58">
        <v>7000</v>
      </c>
    </row>
    <row r="637" spans="1:7" x14ac:dyDescent="0.25">
      <c r="A637" s="1">
        <v>270</v>
      </c>
      <c r="B637" s="1">
        <v>1</v>
      </c>
      <c r="C637" s="1" t="s">
        <v>10</v>
      </c>
      <c r="D637" s="1" t="s">
        <v>15</v>
      </c>
      <c r="E637" s="1">
        <v>2</v>
      </c>
      <c r="F637" s="49">
        <v>10000</v>
      </c>
      <c r="G637" s="49">
        <v>20000</v>
      </c>
    </row>
    <row r="638" spans="1:7" x14ac:dyDescent="0.25">
      <c r="A638" s="1">
        <v>270</v>
      </c>
      <c r="B638" s="1">
        <v>2</v>
      </c>
      <c r="C638" s="1" t="s">
        <v>186</v>
      </c>
      <c r="D638" s="1" t="s">
        <v>187</v>
      </c>
      <c r="E638" s="1">
        <v>2</v>
      </c>
      <c r="F638" s="58">
        <v>3000</v>
      </c>
      <c r="G638" s="58">
        <v>6000</v>
      </c>
    </row>
    <row r="639" spans="1:7" x14ac:dyDescent="0.25">
      <c r="A639" s="1">
        <v>270</v>
      </c>
      <c r="B639" s="1">
        <v>3</v>
      </c>
      <c r="C639" s="1" t="s">
        <v>65</v>
      </c>
      <c r="D639" s="1" t="s">
        <v>16</v>
      </c>
      <c r="E639" s="1">
        <v>1</v>
      </c>
      <c r="F639" s="58">
        <v>10000</v>
      </c>
      <c r="G639" s="58">
        <v>10000</v>
      </c>
    </row>
    <row r="640" spans="1:7" x14ac:dyDescent="0.25">
      <c r="A640" s="1">
        <v>270</v>
      </c>
      <c r="B640" s="1">
        <v>4</v>
      </c>
      <c r="C640" s="1" t="s">
        <v>28</v>
      </c>
      <c r="D640" s="1" t="s">
        <v>107</v>
      </c>
      <c r="E640" s="1">
        <v>2</v>
      </c>
      <c r="F640" s="49">
        <v>6000</v>
      </c>
      <c r="G640" s="49">
        <v>12000</v>
      </c>
    </row>
    <row r="641" spans="1:7" x14ac:dyDescent="0.25">
      <c r="A641" s="1">
        <v>270</v>
      </c>
      <c r="B641" s="1">
        <v>5</v>
      </c>
      <c r="C641" s="1" t="s">
        <v>437</v>
      </c>
      <c r="D641" s="1" t="s">
        <v>435</v>
      </c>
      <c r="E641" s="1">
        <v>1</v>
      </c>
      <c r="F641" s="49">
        <v>6000</v>
      </c>
      <c r="G641" s="49">
        <v>6000</v>
      </c>
    </row>
    <row r="642" spans="1:7" x14ac:dyDescent="0.25">
      <c r="A642" s="1">
        <v>271</v>
      </c>
      <c r="B642" s="1">
        <v>1</v>
      </c>
      <c r="C642" s="1" t="s">
        <v>110</v>
      </c>
      <c r="D642" s="1" t="s">
        <v>115</v>
      </c>
      <c r="E642" s="1">
        <v>1</v>
      </c>
      <c r="F642" s="58">
        <v>6000</v>
      </c>
      <c r="G642" s="58">
        <v>6000</v>
      </c>
    </row>
    <row r="643" spans="1:7" x14ac:dyDescent="0.25">
      <c r="A643" s="1">
        <v>271</v>
      </c>
      <c r="B643" s="1">
        <v>2</v>
      </c>
      <c r="C643" s="1" t="s">
        <v>24</v>
      </c>
      <c r="D643" s="1" t="s">
        <v>105</v>
      </c>
      <c r="E643" s="1">
        <v>1</v>
      </c>
      <c r="F643" s="49">
        <v>7000</v>
      </c>
      <c r="G643" s="49">
        <v>7000</v>
      </c>
    </row>
    <row r="644" spans="1:7" x14ac:dyDescent="0.25">
      <c r="A644" s="1">
        <v>271</v>
      </c>
      <c r="B644" s="1">
        <v>3</v>
      </c>
      <c r="C644" s="1" t="s">
        <v>437</v>
      </c>
      <c r="D644" s="1" t="s">
        <v>435</v>
      </c>
      <c r="E644" s="1">
        <v>3</v>
      </c>
      <c r="F644" s="49">
        <v>6000</v>
      </c>
      <c r="G644" s="49">
        <v>18000</v>
      </c>
    </row>
    <row r="645" spans="1:7" x14ac:dyDescent="0.25">
      <c r="A645" s="1">
        <v>272</v>
      </c>
      <c r="B645" s="1">
        <v>1</v>
      </c>
      <c r="C645" s="1" t="s">
        <v>110</v>
      </c>
      <c r="D645" s="1" t="s">
        <v>115</v>
      </c>
      <c r="E645" s="1">
        <v>1</v>
      </c>
      <c r="F645" s="58">
        <v>6000</v>
      </c>
      <c r="G645" s="58">
        <v>6000</v>
      </c>
    </row>
    <row r="646" spans="1:7" x14ac:dyDescent="0.25">
      <c r="A646" s="1">
        <v>272</v>
      </c>
      <c r="B646" s="1">
        <v>2</v>
      </c>
      <c r="C646" s="1" t="s">
        <v>28</v>
      </c>
      <c r="D646" s="1" t="s">
        <v>107</v>
      </c>
      <c r="E646" s="1">
        <v>1</v>
      </c>
      <c r="F646" s="49">
        <v>6000</v>
      </c>
      <c r="G646" s="49">
        <v>6000</v>
      </c>
    </row>
    <row r="647" spans="1:7" x14ac:dyDescent="0.25">
      <c r="A647" s="1">
        <v>272</v>
      </c>
      <c r="B647" s="1">
        <v>4</v>
      </c>
      <c r="C647" s="1" t="s">
        <v>65</v>
      </c>
      <c r="D647" s="1" t="s">
        <v>16</v>
      </c>
      <c r="E647" s="1">
        <v>2</v>
      </c>
      <c r="F647" s="58">
        <v>10000</v>
      </c>
      <c r="G647" s="58">
        <v>20000</v>
      </c>
    </row>
    <row r="648" spans="1:7" x14ac:dyDescent="0.25">
      <c r="A648" s="1">
        <v>272</v>
      </c>
      <c r="B648" s="1">
        <v>5</v>
      </c>
      <c r="C648" s="1" t="s">
        <v>127</v>
      </c>
      <c r="D648" s="1" t="s">
        <v>128</v>
      </c>
      <c r="E648" s="1">
        <v>1</v>
      </c>
      <c r="F648" s="58">
        <v>4000</v>
      </c>
      <c r="G648" s="58">
        <v>4000</v>
      </c>
    </row>
    <row r="649" spans="1:7" x14ac:dyDescent="0.25">
      <c r="A649" s="1">
        <v>272</v>
      </c>
      <c r="B649" s="1">
        <v>6</v>
      </c>
      <c r="C649" s="1" t="s">
        <v>28</v>
      </c>
      <c r="D649" s="1" t="s">
        <v>107</v>
      </c>
      <c r="E649" s="1">
        <v>1</v>
      </c>
      <c r="F649" s="49">
        <v>6000</v>
      </c>
      <c r="G649" s="49">
        <v>6000</v>
      </c>
    </row>
    <row r="650" spans="1:7" x14ac:dyDescent="0.25">
      <c r="A650" s="1">
        <v>272</v>
      </c>
      <c r="B650" s="1">
        <v>7</v>
      </c>
      <c r="C650" s="1" t="s">
        <v>24</v>
      </c>
      <c r="D650" s="1" t="s">
        <v>105</v>
      </c>
      <c r="E650" s="1">
        <v>1</v>
      </c>
      <c r="F650" s="49">
        <v>7000</v>
      </c>
      <c r="G650" s="49">
        <v>7000</v>
      </c>
    </row>
    <row r="651" spans="1:7" x14ac:dyDescent="0.25">
      <c r="A651" s="1">
        <v>272</v>
      </c>
      <c r="B651" s="1">
        <v>8</v>
      </c>
      <c r="C651" s="1" t="s">
        <v>302</v>
      </c>
      <c r="D651" s="1" t="s">
        <v>161</v>
      </c>
      <c r="E651" s="1">
        <v>2</v>
      </c>
      <c r="F651" s="49">
        <v>1200</v>
      </c>
      <c r="G651" s="49">
        <v>2400</v>
      </c>
    </row>
    <row r="652" spans="1:7" x14ac:dyDescent="0.25">
      <c r="A652" s="1">
        <v>272</v>
      </c>
      <c r="B652" s="1">
        <v>9</v>
      </c>
      <c r="C652" s="1" t="s">
        <v>158</v>
      </c>
      <c r="D652" s="1" t="s">
        <v>159</v>
      </c>
      <c r="E652" s="1">
        <v>1</v>
      </c>
      <c r="F652" s="58">
        <v>1400</v>
      </c>
      <c r="G652" s="58">
        <v>1400</v>
      </c>
    </row>
    <row r="653" spans="1:7" x14ac:dyDescent="0.25">
      <c r="A653" s="1">
        <v>272</v>
      </c>
      <c r="B653" s="1">
        <v>10</v>
      </c>
      <c r="C653" s="1" t="s">
        <v>26</v>
      </c>
      <c r="D653" s="1" t="s">
        <v>14</v>
      </c>
      <c r="E653" s="1">
        <v>1</v>
      </c>
      <c r="F653" s="58">
        <v>7000</v>
      </c>
      <c r="G653" s="58">
        <v>7000</v>
      </c>
    </row>
    <row r="654" spans="1:7" x14ac:dyDescent="0.25">
      <c r="A654" s="1">
        <v>272</v>
      </c>
      <c r="B654" s="1">
        <v>11</v>
      </c>
      <c r="C654" s="1" t="s">
        <v>186</v>
      </c>
      <c r="D654" s="1" t="s">
        <v>187</v>
      </c>
      <c r="E654" s="1">
        <v>2</v>
      </c>
      <c r="F654" s="58">
        <v>3000</v>
      </c>
      <c r="G654" s="58">
        <v>6000</v>
      </c>
    </row>
    <row r="655" spans="1:7" x14ac:dyDescent="0.25">
      <c r="A655" s="1">
        <v>273</v>
      </c>
      <c r="B655" s="1">
        <v>1</v>
      </c>
      <c r="C655" s="1" t="s">
        <v>110</v>
      </c>
      <c r="D655" s="1" t="s">
        <v>115</v>
      </c>
      <c r="E655" s="1">
        <v>2</v>
      </c>
      <c r="F655" s="58">
        <v>6000</v>
      </c>
      <c r="G655" s="58">
        <v>12000</v>
      </c>
    </row>
    <row r="656" spans="1:7" ht="30" x14ac:dyDescent="0.25">
      <c r="A656" s="1">
        <v>273</v>
      </c>
      <c r="B656" s="1">
        <v>2</v>
      </c>
      <c r="C656" s="1" t="s">
        <v>113</v>
      </c>
      <c r="D656" s="1" t="s">
        <v>171</v>
      </c>
      <c r="E656" s="1">
        <v>1</v>
      </c>
      <c r="F656" s="58">
        <v>6000</v>
      </c>
      <c r="G656" s="58">
        <v>6000</v>
      </c>
    </row>
    <row r="657" spans="1:7" x14ac:dyDescent="0.25">
      <c r="A657" s="1">
        <v>273</v>
      </c>
      <c r="B657" s="1">
        <v>3</v>
      </c>
      <c r="C657" s="1" t="s">
        <v>10</v>
      </c>
      <c r="D657" s="1" t="s">
        <v>15</v>
      </c>
      <c r="E657" s="1">
        <v>2</v>
      </c>
      <c r="F657" s="49">
        <v>10000</v>
      </c>
      <c r="G657" s="49">
        <v>20000</v>
      </c>
    </row>
    <row r="658" spans="1:7" x14ac:dyDescent="0.25">
      <c r="A658" s="1">
        <v>273</v>
      </c>
      <c r="B658" s="1">
        <v>4</v>
      </c>
      <c r="C658" s="1" t="s">
        <v>437</v>
      </c>
      <c r="D658" s="1" t="s">
        <v>435</v>
      </c>
      <c r="E658" s="1">
        <v>2</v>
      </c>
      <c r="F658" s="49">
        <v>6000</v>
      </c>
      <c r="G658" s="49">
        <v>12000</v>
      </c>
    </row>
    <row r="659" spans="1:7" x14ac:dyDescent="0.25">
      <c r="A659" s="1">
        <v>274</v>
      </c>
      <c r="B659" s="1">
        <v>1</v>
      </c>
      <c r="C659" s="1" t="s">
        <v>22</v>
      </c>
      <c r="D659" s="1" t="s">
        <v>104</v>
      </c>
      <c r="E659" s="1">
        <v>1</v>
      </c>
      <c r="F659" s="49">
        <v>7000</v>
      </c>
      <c r="G659" s="49">
        <v>7000</v>
      </c>
    </row>
    <row r="660" spans="1:7" x14ac:dyDescent="0.25">
      <c r="A660" s="1">
        <v>274</v>
      </c>
      <c r="B660" s="1">
        <v>2</v>
      </c>
      <c r="C660" s="1" t="s">
        <v>190</v>
      </c>
      <c r="D660" s="1" t="s">
        <v>184</v>
      </c>
      <c r="E660" s="1">
        <v>1</v>
      </c>
      <c r="F660" s="49">
        <v>6000</v>
      </c>
      <c r="G660" s="49">
        <v>6000</v>
      </c>
    </row>
    <row r="661" spans="1:7" x14ac:dyDescent="0.25">
      <c r="A661" s="1">
        <v>278</v>
      </c>
      <c r="B661" s="1">
        <v>1</v>
      </c>
      <c r="C661" s="1" t="s">
        <v>182</v>
      </c>
      <c r="D661" s="1" t="s">
        <v>183</v>
      </c>
      <c r="E661" s="1">
        <v>1</v>
      </c>
      <c r="F661" s="49">
        <v>9000</v>
      </c>
      <c r="G661" s="49">
        <v>9000</v>
      </c>
    </row>
    <row r="662" spans="1:7" x14ac:dyDescent="0.25">
      <c r="A662" s="1">
        <v>277</v>
      </c>
      <c r="B662" s="1">
        <v>1</v>
      </c>
      <c r="C662" s="1" t="s">
        <v>28</v>
      </c>
      <c r="D662" s="1" t="s">
        <v>107</v>
      </c>
      <c r="E662" s="1">
        <v>3</v>
      </c>
      <c r="F662" s="49">
        <v>6000</v>
      </c>
      <c r="G662" s="49">
        <v>18000</v>
      </c>
    </row>
    <row r="663" spans="1:7" x14ac:dyDescent="0.25">
      <c r="A663" s="1">
        <v>278</v>
      </c>
      <c r="B663" s="1">
        <v>1</v>
      </c>
      <c r="C663" s="1" t="s">
        <v>182</v>
      </c>
      <c r="D663" s="1" t="s">
        <v>183</v>
      </c>
      <c r="E663" s="1">
        <v>1</v>
      </c>
      <c r="F663" s="49">
        <v>9000</v>
      </c>
      <c r="G663" s="49">
        <v>9000</v>
      </c>
    </row>
    <row r="664" spans="1:7" x14ac:dyDescent="0.25">
      <c r="A664" s="1">
        <v>279</v>
      </c>
      <c r="B664" s="1">
        <v>1</v>
      </c>
      <c r="C664" s="1" t="s">
        <v>190</v>
      </c>
      <c r="D664" s="1" t="s">
        <v>107</v>
      </c>
      <c r="E664" s="1">
        <v>1</v>
      </c>
      <c r="F664" s="49">
        <v>6000</v>
      </c>
      <c r="G664" s="49">
        <v>6000</v>
      </c>
    </row>
    <row r="665" spans="1:7" x14ac:dyDescent="0.25">
      <c r="A665" s="1">
        <v>279</v>
      </c>
      <c r="B665" s="1">
        <v>2</v>
      </c>
      <c r="C665" s="1" t="s">
        <v>190</v>
      </c>
      <c r="D665" s="1" t="s">
        <v>105</v>
      </c>
      <c r="E665" s="1">
        <v>1</v>
      </c>
      <c r="F665" s="49">
        <v>7000</v>
      </c>
      <c r="G665" s="49">
        <v>7000</v>
      </c>
    </row>
    <row r="666" spans="1:7" x14ac:dyDescent="0.25">
      <c r="A666" s="1">
        <v>280</v>
      </c>
      <c r="B666" s="1">
        <v>2</v>
      </c>
      <c r="C666" s="1" t="s">
        <v>190</v>
      </c>
      <c r="D666" s="1" t="s">
        <v>184</v>
      </c>
      <c r="E666" s="1">
        <v>1</v>
      </c>
      <c r="F666" s="49">
        <v>6000</v>
      </c>
      <c r="G666" s="49">
        <v>6000</v>
      </c>
    </row>
    <row r="667" spans="1:7" x14ac:dyDescent="0.25">
      <c r="A667" s="1">
        <v>281</v>
      </c>
      <c r="B667" s="1">
        <v>1</v>
      </c>
      <c r="C667" s="1" t="s">
        <v>190</v>
      </c>
      <c r="D667" s="1" t="s">
        <v>184</v>
      </c>
      <c r="E667" s="1">
        <v>1</v>
      </c>
      <c r="F667" s="49">
        <v>6000</v>
      </c>
      <c r="G667" s="49">
        <v>6000</v>
      </c>
    </row>
    <row r="668" spans="1:7" x14ac:dyDescent="0.25">
      <c r="A668" s="1">
        <v>282</v>
      </c>
      <c r="B668" s="1">
        <v>1</v>
      </c>
      <c r="C668" s="1" t="s">
        <v>28</v>
      </c>
      <c r="D668" s="1" t="s">
        <v>107</v>
      </c>
      <c r="E668" s="1">
        <v>2</v>
      </c>
      <c r="F668" s="49">
        <v>6000</v>
      </c>
      <c r="G668" s="49">
        <v>12000</v>
      </c>
    </row>
    <row r="669" spans="1:7" x14ac:dyDescent="0.25">
      <c r="A669" s="1">
        <v>282</v>
      </c>
      <c r="B669" s="1">
        <v>2</v>
      </c>
      <c r="C669" s="1" t="s">
        <v>302</v>
      </c>
      <c r="D669" s="1" t="s">
        <v>161</v>
      </c>
      <c r="E669" s="1">
        <v>1</v>
      </c>
      <c r="F669" s="49">
        <v>1200</v>
      </c>
      <c r="G669" s="49">
        <v>1200</v>
      </c>
    </row>
    <row r="670" spans="1:7" x14ac:dyDescent="0.25">
      <c r="A670" s="1">
        <v>282</v>
      </c>
      <c r="B670" s="1">
        <v>3</v>
      </c>
      <c r="C670" s="1" t="s">
        <v>158</v>
      </c>
      <c r="D670" s="1" t="s">
        <v>159</v>
      </c>
      <c r="E670" s="1">
        <v>2</v>
      </c>
      <c r="F670" s="49">
        <v>1400</v>
      </c>
      <c r="G670" s="49">
        <v>2800</v>
      </c>
    </row>
    <row r="671" spans="1:7" x14ac:dyDescent="0.25">
      <c r="A671" s="1">
        <v>283</v>
      </c>
      <c r="B671" s="1">
        <v>1</v>
      </c>
      <c r="C671" s="1" t="s">
        <v>28</v>
      </c>
      <c r="D671" s="1" t="s">
        <v>107</v>
      </c>
      <c r="E671" s="1">
        <v>2</v>
      </c>
      <c r="F671" s="49">
        <v>6000</v>
      </c>
      <c r="G671" s="49">
        <v>12000</v>
      </c>
    </row>
    <row r="672" spans="1:7" x14ac:dyDescent="0.25">
      <c r="A672" s="1">
        <v>284</v>
      </c>
      <c r="B672" s="1">
        <v>1</v>
      </c>
      <c r="C672" s="1" t="s">
        <v>182</v>
      </c>
      <c r="D672" s="1" t="s">
        <v>183</v>
      </c>
      <c r="E672" s="1">
        <v>2</v>
      </c>
      <c r="F672" s="49">
        <v>9000</v>
      </c>
      <c r="G672" s="49">
        <v>18000</v>
      </c>
    </row>
    <row r="673" spans="1:7" x14ac:dyDescent="0.25">
      <c r="A673" s="1">
        <v>284</v>
      </c>
      <c r="B673" s="1">
        <v>2</v>
      </c>
      <c r="C673" s="1" t="s">
        <v>28</v>
      </c>
      <c r="D673" s="1" t="s">
        <v>107</v>
      </c>
      <c r="E673" s="1">
        <v>2</v>
      </c>
      <c r="F673" s="49">
        <v>6000</v>
      </c>
      <c r="G673" s="49">
        <v>12000</v>
      </c>
    </row>
    <row r="674" spans="1:7" x14ac:dyDescent="0.25">
      <c r="A674" s="1">
        <v>285</v>
      </c>
      <c r="B674" s="1">
        <v>1</v>
      </c>
      <c r="C674" s="1" t="s">
        <v>21</v>
      </c>
      <c r="D674" s="1" t="s">
        <v>5</v>
      </c>
      <c r="E674" s="1">
        <v>2</v>
      </c>
      <c r="F674" s="49">
        <v>3000</v>
      </c>
      <c r="G674" s="49">
        <v>6000</v>
      </c>
    </row>
    <row r="675" spans="1:7" x14ac:dyDescent="0.25">
      <c r="A675" s="1">
        <v>276</v>
      </c>
      <c r="B675" s="1">
        <v>1</v>
      </c>
      <c r="C675" s="1" t="s">
        <v>28</v>
      </c>
      <c r="D675" s="1" t="s">
        <v>107</v>
      </c>
      <c r="E675" s="1">
        <v>2</v>
      </c>
      <c r="F675" s="49">
        <v>6000</v>
      </c>
      <c r="G675" s="49">
        <v>12000</v>
      </c>
    </row>
    <row r="676" spans="1:7" x14ac:dyDescent="0.25">
      <c r="A676" s="1">
        <v>276</v>
      </c>
      <c r="B676" s="1">
        <v>2</v>
      </c>
      <c r="C676" s="1" t="s">
        <v>302</v>
      </c>
      <c r="D676" s="1" t="s">
        <v>161</v>
      </c>
      <c r="E676" s="1">
        <v>3</v>
      </c>
      <c r="F676" s="49">
        <v>1200</v>
      </c>
      <c r="G676" s="49">
        <v>3600</v>
      </c>
    </row>
    <row r="677" spans="1:7" x14ac:dyDescent="0.25">
      <c r="A677" s="1">
        <v>276</v>
      </c>
      <c r="B677" s="1">
        <v>3</v>
      </c>
      <c r="C677" s="1" t="s">
        <v>158</v>
      </c>
      <c r="D677" s="1" t="s">
        <v>159</v>
      </c>
      <c r="E677" s="1">
        <v>1</v>
      </c>
      <c r="F677" s="49">
        <v>1400</v>
      </c>
      <c r="G677" s="49">
        <v>1400</v>
      </c>
    </row>
    <row r="678" spans="1:7" x14ac:dyDescent="0.25">
      <c r="A678" s="1">
        <v>276</v>
      </c>
      <c r="B678" s="1">
        <v>4</v>
      </c>
      <c r="C678" s="1" t="s">
        <v>24</v>
      </c>
      <c r="D678" s="1" t="s">
        <v>105</v>
      </c>
      <c r="E678" s="1">
        <v>1</v>
      </c>
      <c r="F678" s="49">
        <v>7000</v>
      </c>
      <c r="G678" s="49">
        <v>7000</v>
      </c>
    </row>
    <row r="679" spans="1:7" x14ac:dyDescent="0.25">
      <c r="A679" s="1">
        <v>286</v>
      </c>
      <c r="B679" s="1">
        <v>1</v>
      </c>
      <c r="C679" s="1" t="s">
        <v>28</v>
      </c>
      <c r="D679" s="1" t="s">
        <v>107</v>
      </c>
      <c r="E679" s="1">
        <v>1</v>
      </c>
      <c r="F679" s="49">
        <v>6000</v>
      </c>
      <c r="G679" s="49">
        <v>6000</v>
      </c>
    </row>
    <row r="680" spans="1:7" x14ac:dyDescent="0.25">
      <c r="A680" s="1">
        <v>287</v>
      </c>
      <c r="B680" s="1">
        <v>1</v>
      </c>
      <c r="C680" s="1" t="s">
        <v>182</v>
      </c>
      <c r="D680" s="1" t="s">
        <v>183</v>
      </c>
      <c r="E680" s="1">
        <v>1</v>
      </c>
      <c r="F680" s="49">
        <v>9000</v>
      </c>
      <c r="G680" s="49">
        <v>9000</v>
      </c>
    </row>
    <row r="681" spans="1:7" x14ac:dyDescent="0.25">
      <c r="A681" s="1">
        <v>287</v>
      </c>
      <c r="B681" s="1">
        <v>2</v>
      </c>
      <c r="C681" s="1" t="s">
        <v>302</v>
      </c>
      <c r="D681" s="1" t="s">
        <v>161</v>
      </c>
      <c r="E681" s="1">
        <v>1</v>
      </c>
      <c r="F681" s="49">
        <v>1200</v>
      </c>
      <c r="G681" s="49">
        <v>1200</v>
      </c>
    </row>
    <row r="682" spans="1:7" x14ac:dyDescent="0.25">
      <c r="A682" s="1">
        <v>288</v>
      </c>
      <c r="B682" s="1">
        <v>1</v>
      </c>
      <c r="C682" s="1" t="s">
        <v>158</v>
      </c>
      <c r="D682" s="1" t="s">
        <v>159</v>
      </c>
      <c r="E682" s="1">
        <v>2</v>
      </c>
      <c r="F682" s="49">
        <v>1400</v>
      </c>
      <c r="G682" s="49">
        <v>2800</v>
      </c>
    </row>
    <row r="683" spans="1:7" x14ac:dyDescent="0.25">
      <c r="A683" s="1">
        <v>275</v>
      </c>
      <c r="B683" s="1">
        <v>1</v>
      </c>
      <c r="C683" s="1" t="s">
        <v>22</v>
      </c>
      <c r="D683" s="1" t="s">
        <v>104</v>
      </c>
      <c r="E683" s="1">
        <v>2</v>
      </c>
      <c r="F683" s="49">
        <v>7000</v>
      </c>
      <c r="G683" s="49">
        <v>14000</v>
      </c>
    </row>
    <row r="684" spans="1:7" x14ac:dyDescent="0.25">
      <c r="A684" s="1">
        <v>275</v>
      </c>
      <c r="B684" s="1">
        <v>2</v>
      </c>
      <c r="C684" s="1" t="s">
        <v>190</v>
      </c>
      <c r="D684" s="1" t="s">
        <v>184</v>
      </c>
      <c r="E684" s="1">
        <v>1</v>
      </c>
      <c r="F684" s="49">
        <v>6000</v>
      </c>
      <c r="G684" s="49">
        <v>6000</v>
      </c>
    </row>
    <row r="685" spans="1:7" x14ac:dyDescent="0.25">
      <c r="A685" s="1">
        <v>275</v>
      </c>
      <c r="B685" s="1">
        <v>3</v>
      </c>
      <c r="C685" s="1" t="s">
        <v>302</v>
      </c>
      <c r="D685" s="1" t="s">
        <v>161</v>
      </c>
      <c r="E685" s="1">
        <v>1</v>
      </c>
      <c r="F685" s="49">
        <v>1200</v>
      </c>
      <c r="G685" s="49">
        <v>1200</v>
      </c>
    </row>
    <row r="686" spans="1:7" x14ac:dyDescent="0.25">
      <c r="A686" s="1">
        <v>289</v>
      </c>
      <c r="B686" s="1">
        <v>1</v>
      </c>
      <c r="C686" s="1" t="s">
        <v>182</v>
      </c>
      <c r="D686" s="1" t="s">
        <v>183</v>
      </c>
      <c r="E686" s="1">
        <v>1</v>
      </c>
      <c r="F686" s="49">
        <v>9000</v>
      </c>
      <c r="G686" s="49">
        <v>9000</v>
      </c>
    </row>
    <row r="687" spans="1:7" x14ac:dyDescent="0.25">
      <c r="A687" s="1">
        <v>290</v>
      </c>
      <c r="B687" s="1">
        <v>1</v>
      </c>
      <c r="C687" s="1" t="s">
        <v>182</v>
      </c>
      <c r="D687" s="1" t="s">
        <v>183</v>
      </c>
      <c r="E687" s="1">
        <v>1</v>
      </c>
      <c r="F687" s="49">
        <v>9000</v>
      </c>
      <c r="G687" s="49">
        <v>9000</v>
      </c>
    </row>
    <row r="688" spans="1:7" x14ac:dyDescent="0.25">
      <c r="A688" s="1">
        <v>290</v>
      </c>
      <c r="B688" s="1">
        <v>2</v>
      </c>
      <c r="C688" s="1" t="s">
        <v>302</v>
      </c>
      <c r="D688" s="1" t="s">
        <v>161</v>
      </c>
      <c r="E688" s="1">
        <v>2</v>
      </c>
      <c r="F688" s="49">
        <v>1200</v>
      </c>
      <c r="G688" s="49">
        <v>2400</v>
      </c>
    </row>
    <row r="689" spans="1:7" x14ac:dyDescent="0.25">
      <c r="A689" s="1">
        <v>291</v>
      </c>
      <c r="B689" s="1">
        <v>1</v>
      </c>
      <c r="C689" s="1" t="s">
        <v>302</v>
      </c>
      <c r="D689" s="1" t="s">
        <v>161</v>
      </c>
      <c r="E689" s="1">
        <v>1</v>
      </c>
      <c r="F689" s="49">
        <v>1200</v>
      </c>
      <c r="G689" s="49">
        <v>1200</v>
      </c>
    </row>
    <row r="690" spans="1:7" x14ac:dyDescent="0.25">
      <c r="A690" s="1">
        <v>292</v>
      </c>
      <c r="B690" s="1">
        <v>1</v>
      </c>
      <c r="C690" s="1" t="s">
        <v>190</v>
      </c>
      <c r="D690" s="1" t="s">
        <v>184</v>
      </c>
      <c r="E690" s="1">
        <v>1</v>
      </c>
      <c r="F690" s="49">
        <v>6000</v>
      </c>
      <c r="G690" s="49">
        <v>6000</v>
      </c>
    </row>
    <row r="691" spans="1:7" x14ac:dyDescent="0.25">
      <c r="A691" s="1">
        <v>293</v>
      </c>
      <c r="B691" s="1">
        <v>1</v>
      </c>
      <c r="C691" s="1" t="s">
        <v>182</v>
      </c>
      <c r="D691" s="1" t="s">
        <v>183</v>
      </c>
      <c r="E691" s="1">
        <v>2</v>
      </c>
      <c r="F691" s="49">
        <v>9000</v>
      </c>
      <c r="G691" s="49">
        <v>18000</v>
      </c>
    </row>
    <row r="692" spans="1:7" x14ac:dyDescent="0.25">
      <c r="A692" s="1">
        <v>294</v>
      </c>
      <c r="B692" s="1">
        <v>1</v>
      </c>
      <c r="C692" s="1" t="s">
        <v>28</v>
      </c>
      <c r="D692" s="1" t="s">
        <v>107</v>
      </c>
      <c r="E692" s="1">
        <v>1</v>
      </c>
      <c r="F692" s="49">
        <v>6000</v>
      </c>
      <c r="G692" s="49">
        <v>6000</v>
      </c>
    </row>
    <row r="693" spans="1:7" x14ac:dyDescent="0.25">
      <c r="A693" s="1">
        <v>295</v>
      </c>
      <c r="B693" s="1">
        <v>1</v>
      </c>
      <c r="C693" s="1" t="s">
        <v>21</v>
      </c>
      <c r="D693" s="1" t="s">
        <v>5</v>
      </c>
      <c r="E693" s="1">
        <v>1</v>
      </c>
      <c r="F693" s="49">
        <v>3000</v>
      </c>
      <c r="G693" s="49">
        <v>3000</v>
      </c>
    </row>
    <row r="694" spans="1:7" x14ac:dyDescent="0.25">
      <c r="A694" s="1">
        <v>295</v>
      </c>
      <c r="B694" s="1">
        <v>1</v>
      </c>
      <c r="C694" s="1" t="s">
        <v>302</v>
      </c>
      <c r="D694" s="1" t="s">
        <v>161</v>
      </c>
      <c r="E694" s="1">
        <v>1</v>
      </c>
      <c r="F694" s="49">
        <v>1400</v>
      </c>
      <c r="G694" s="49">
        <v>2400</v>
      </c>
    </row>
    <row r="695" spans="1:7" x14ac:dyDescent="0.25">
      <c r="A695" s="1">
        <v>299</v>
      </c>
      <c r="B695" s="1">
        <v>1</v>
      </c>
      <c r="C695" s="1" t="s">
        <v>24</v>
      </c>
      <c r="D695" s="1" t="s">
        <v>105</v>
      </c>
      <c r="E695" s="1">
        <v>1</v>
      </c>
      <c r="F695" s="49">
        <v>7000</v>
      </c>
      <c r="G695" s="49">
        <v>7000</v>
      </c>
    </row>
    <row r="696" spans="1:7" x14ac:dyDescent="0.25">
      <c r="A696" s="1">
        <v>302</v>
      </c>
      <c r="B696" s="1">
        <v>1</v>
      </c>
      <c r="C696" s="1" t="s">
        <v>22</v>
      </c>
      <c r="D696" s="1" t="s">
        <v>104</v>
      </c>
      <c r="E696" s="1">
        <v>2</v>
      </c>
      <c r="F696" s="49">
        <v>7000</v>
      </c>
      <c r="G696" s="49">
        <v>14000</v>
      </c>
    </row>
    <row r="697" spans="1:7" x14ac:dyDescent="0.25">
      <c r="A697" s="1">
        <v>300</v>
      </c>
      <c r="B697" s="1">
        <v>1</v>
      </c>
      <c r="C697" s="1" t="s">
        <v>22</v>
      </c>
      <c r="D697" s="1" t="s">
        <v>104</v>
      </c>
      <c r="E697" s="1">
        <v>2</v>
      </c>
      <c r="F697" s="49">
        <v>7000</v>
      </c>
      <c r="G697" s="49">
        <v>14000</v>
      </c>
    </row>
    <row r="698" spans="1:7" x14ac:dyDescent="0.25">
      <c r="A698" s="1">
        <v>300</v>
      </c>
      <c r="B698" s="1">
        <v>2</v>
      </c>
      <c r="C698" s="1" t="s">
        <v>110</v>
      </c>
      <c r="D698" s="1" t="s">
        <v>115</v>
      </c>
      <c r="E698" s="1">
        <v>1</v>
      </c>
      <c r="F698" s="49">
        <v>6000</v>
      </c>
      <c r="G698" s="49">
        <v>6000</v>
      </c>
    </row>
    <row r="699" spans="1:7" x14ac:dyDescent="0.25">
      <c r="A699" s="1">
        <v>301</v>
      </c>
      <c r="B699" s="1">
        <v>1</v>
      </c>
      <c r="C699" s="1" t="s">
        <v>190</v>
      </c>
      <c r="D699" s="1" t="s">
        <v>184</v>
      </c>
      <c r="E699" s="1">
        <v>1</v>
      </c>
      <c r="F699" s="49">
        <v>6000</v>
      </c>
      <c r="G699" s="49">
        <v>6000</v>
      </c>
    </row>
    <row r="700" spans="1:7" x14ac:dyDescent="0.25">
      <c r="A700" s="1">
        <v>298</v>
      </c>
      <c r="B700" s="1">
        <v>1</v>
      </c>
      <c r="C700" s="1" t="s">
        <v>22</v>
      </c>
      <c r="D700" s="1" t="s">
        <v>104</v>
      </c>
      <c r="E700" s="1">
        <v>5</v>
      </c>
      <c r="F700" s="49">
        <v>7000</v>
      </c>
      <c r="G700" s="49">
        <v>35000</v>
      </c>
    </row>
    <row r="701" spans="1:7" x14ac:dyDescent="0.25">
      <c r="A701" s="1">
        <v>298</v>
      </c>
      <c r="B701" s="1">
        <v>2</v>
      </c>
      <c r="C701" s="1" t="s">
        <v>302</v>
      </c>
      <c r="D701" s="1" t="s">
        <v>161</v>
      </c>
      <c r="E701" s="1">
        <v>3</v>
      </c>
      <c r="F701" s="49">
        <v>1200</v>
      </c>
      <c r="G701" s="49">
        <v>3600</v>
      </c>
    </row>
    <row r="702" spans="1:7" x14ac:dyDescent="0.25">
      <c r="A702" s="1">
        <v>304</v>
      </c>
      <c r="B702" s="1">
        <v>1</v>
      </c>
      <c r="C702" s="1" t="s">
        <v>21</v>
      </c>
      <c r="D702" s="1" t="s">
        <v>5</v>
      </c>
      <c r="E702" s="1">
        <v>1</v>
      </c>
      <c r="F702" s="49">
        <v>3000</v>
      </c>
      <c r="G702" s="49">
        <v>3000</v>
      </c>
    </row>
    <row r="703" spans="1:7" x14ac:dyDescent="0.25">
      <c r="A703" s="1">
        <v>305</v>
      </c>
      <c r="B703" s="1">
        <v>1</v>
      </c>
      <c r="C703" s="1" t="s">
        <v>21</v>
      </c>
      <c r="D703" s="1" t="s">
        <v>5</v>
      </c>
      <c r="E703" s="1">
        <v>3</v>
      </c>
      <c r="F703" s="49">
        <v>3000</v>
      </c>
      <c r="G703" s="49">
        <v>9000</v>
      </c>
    </row>
    <row r="704" spans="1:7" x14ac:dyDescent="0.25">
      <c r="A704" s="1">
        <v>306</v>
      </c>
      <c r="B704" s="1">
        <v>1</v>
      </c>
      <c r="C704" s="1" t="s">
        <v>127</v>
      </c>
      <c r="D704" s="1" t="s">
        <v>128</v>
      </c>
      <c r="E704" s="1">
        <v>1</v>
      </c>
      <c r="F704" s="49">
        <v>4000</v>
      </c>
      <c r="G704" s="49">
        <v>4000</v>
      </c>
    </row>
    <row r="705" spans="1:7" x14ac:dyDescent="0.25">
      <c r="A705" s="1">
        <v>308</v>
      </c>
      <c r="B705" s="1">
        <v>1</v>
      </c>
      <c r="C705" s="1" t="s">
        <v>21</v>
      </c>
      <c r="D705" s="1" t="s">
        <v>5</v>
      </c>
      <c r="E705" s="1">
        <v>1</v>
      </c>
      <c r="F705" s="49">
        <v>3000</v>
      </c>
      <c r="G705" s="49">
        <v>3000</v>
      </c>
    </row>
    <row r="706" spans="1:7" x14ac:dyDescent="0.25">
      <c r="A706" s="1">
        <v>296</v>
      </c>
      <c r="B706" s="1">
        <v>1</v>
      </c>
      <c r="C706" s="1" t="s">
        <v>22</v>
      </c>
      <c r="D706" s="1" t="s">
        <v>104</v>
      </c>
      <c r="E706" s="1">
        <v>2</v>
      </c>
      <c r="F706" s="49">
        <v>7000</v>
      </c>
      <c r="G706" s="49">
        <v>14000</v>
      </c>
    </row>
    <row r="707" spans="1:7" x14ac:dyDescent="0.25">
      <c r="A707" s="1">
        <v>296</v>
      </c>
      <c r="B707" s="1">
        <v>2</v>
      </c>
      <c r="C707" s="1" t="s">
        <v>21</v>
      </c>
      <c r="D707" s="1" t="s">
        <v>5</v>
      </c>
      <c r="E707" s="1">
        <v>1</v>
      </c>
      <c r="F707" s="49">
        <v>3000</v>
      </c>
      <c r="G707" s="49">
        <v>3000</v>
      </c>
    </row>
    <row r="708" spans="1:7" x14ac:dyDescent="0.25">
      <c r="A708" s="1">
        <v>296</v>
      </c>
      <c r="B708" s="1">
        <v>3</v>
      </c>
      <c r="C708" s="1" t="s">
        <v>110</v>
      </c>
      <c r="D708" s="1" t="s">
        <v>115</v>
      </c>
      <c r="E708" s="1">
        <v>1</v>
      </c>
      <c r="F708" s="49">
        <v>6000</v>
      </c>
      <c r="G708" s="49">
        <v>6000</v>
      </c>
    </row>
    <row r="709" spans="1:7" x14ac:dyDescent="0.25">
      <c r="A709" s="1">
        <v>297</v>
      </c>
      <c r="B709" s="1">
        <v>1</v>
      </c>
      <c r="C709" s="1" t="s">
        <v>22</v>
      </c>
      <c r="D709" s="1" t="s">
        <v>104</v>
      </c>
      <c r="E709" s="1">
        <v>2</v>
      </c>
      <c r="F709" s="49">
        <v>7000</v>
      </c>
      <c r="G709" s="49">
        <v>14000</v>
      </c>
    </row>
    <row r="710" spans="1:7" x14ac:dyDescent="0.25">
      <c r="A710" s="1">
        <v>309</v>
      </c>
      <c r="B710" s="1">
        <v>1</v>
      </c>
      <c r="C710" s="1" t="s">
        <v>24</v>
      </c>
      <c r="D710" s="1" t="s">
        <v>105</v>
      </c>
      <c r="E710" s="1">
        <v>1</v>
      </c>
      <c r="F710" s="49">
        <v>7000</v>
      </c>
      <c r="G710" s="49">
        <v>7000</v>
      </c>
    </row>
    <row r="711" spans="1:7" x14ac:dyDescent="0.25">
      <c r="A711" s="1">
        <v>309</v>
      </c>
      <c r="B711" s="1">
        <v>2</v>
      </c>
      <c r="C711" s="1" t="s">
        <v>65</v>
      </c>
      <c r="D711" s="1" t="s">
        <v>16</v>
      </c>
      <c r="E711" s="1">
        <v>1</v>
      </c>
      <c r="F711" s="49">
        <v>10000</v>
      </c>
      <c r="G711" s="49">
        <v>10000</v>
      </c>
    </row>
    <row r="712" spans="1:7" x14ac:dyDescent="0.25">
      <c r="A712" s="1">
        <v>310</v>
      </c>
      <c r="B712" s="1">
        <v>1</v>
      </c>
      <c r="C712" s="1" t="s">
        <v>190</v>
      </c>
      <c r="D712" s="1" t="s">
        <v>184</v>
      </c>
      <c r="E712" s="1">
        <v>1</v>
      </c>
      <c r="F712" s="49">
        <v>6000</v>
      </c>
      <c r="G712" s="49">
        <v>6000</v>
      </c>
    </row>
    <row r="713" spans="1:7" x14ac:dyDescent="0.25">
      <c r="A713" s="1">
        <v>310</v>
      </c>
      <c r="B713" s="1">
        <v>2</v>
      </c>
      <c r="C713" s="1" t="s">
        <v>28</v>
      </c>
      <c r="D713" s="1" t="s">
        <v>107</v>
      </c>
      <c r="E713" s="1">
        <v>1</v>
      </c>
      <c r="F713" s="49">
        <v>6000</v>
      </c>
      <c r="G713" s="49">
        <v>6000</v>
      </c>
    </row>
    <row r="714" spans="1:7" x14ac:dyDescent="0.25">
      <c r="A714" s="1">
        <v>311</v>
      </c>
      <c r="B714" s="1">
        <v>1</v>
      </c>
      <c r="C714" s="1" t="s">
        <v>182</v>
      </c>
      <c r="D714" s="1" t="s">
        <v>183</v>
      </c>
      <c r="E714" s="1">
        <v>2</v>
      </c>
      <c r="F714" s="49">
        <v>9000</v>
      </c>
      <c r="G714" s="49">
        <v>18000</v>
      </c>
    </row>
    <row r="715" spans="1:7" x14ac:dyDescent="0.25">
      <c r="A715" s="1">
        <v>303</v>
      </c>
      <c r="B715" s="1">
        <v>1</v>
      </c>
      <c r="C715" s="1" t="s">
        <v>28</v>
      </c>
      <c r="D715" s="1" t="s">
        <v>107</v>
      </c>
      <c r="E715" s="1">
        <v>3</v>
      </c>
      <c r="F715" s="49">
        <v>6000</v>
      </c>
      <c r="G715" s="49">
        <v>18000</v>
      </c>
    </row>
    <row r="716" spans="1:7" x14ac:dyDescent="0.25">
      <c r="A716" s="1">
        <v>303</v>
      </c>
      <c r="B716" s="1">
        <v>2</v>
      </c>
      <c r="C716" s="1" t="s">
        <v>302</v>
      </c>
      <c r="D716" s="1" t="s">
        <v>161</v>
      </c>
      <c r="E716" s="1">
        <v>2</v>
      </c>
      <c r="F716" s="49">
        <v>1200</v>
      </c>
      <c r="G716" s="49">
        <v>2400</v>
      </c>
    </row>
    <row r="717" spans="1:7" x14ac:dyDescent="0.25">
      <c r="A717" s="1">
        <v>307</v>
      </c>
      <c r="B717" s="1">
        <v>1</v>
      </c>
      <c r="C717" s="1" t="s">
        <v>21</v>
      </c>
      <c r="D717" s="1" t="s">
        <v>5</v>
      </c>
      <c r="E717" s="1">
        <v>1</v>
      </c>
      <c r="F717" s="49">
        <v>3000</v>
      </c>
      <c r="G717" s="49">
        <v>3000</v>
      </c>
    </row>
    <row r="718" spans="1:7" x14ac:dyDescent="0.25">
      <c r="A718" s="1">
        <v>307</v>
      </c>
      <c r="B718" s="1">
        <v>2</v>
      </c>
      <c r="C718" s="1" t="s">
        <v>27</v>
      </c>
      <c r="D718" s="1" t="s">
        <v>106</v>
      </c>
      <c r="E718" s="1">
        <v>1</v>
      </c>
      <c r="F718" s="49">
        <v>7000</v>
      </c>
      <c r="G718" s="49">
        <v>7000</v>
      </c>
    </row>
    <row r="719" spans="1:7" x14ac:dyDescent="0.25">
      <c r="A719" s="1">
        <v>307</v>
      </c>
      <c r="B719" s="1">
        <v>3</v>
      </c>
      <c r="C719" s="1" t="s">
        <v>110</v>
      </c>
      <c r="D719" s="1" t="s">
        <v>115</v>
      </c>
      <c r="E719" s="1">
        <v>1</v>
      </c>
      <c r="F719" s="49">
        <v>6000</v>
      </c>
      <c r="G719" s="49">
        <v>6000</v>
      </c>
    </row>
    <row r="720" spans="1:7" x14ac:dyDescent="0.25">
      <c r="A720" s="1">
        <v>312</v>
      </c>
      <c r="B720" s="1">
        <v>1</v>
      </c>
      <c r="C720" s="1" t="s">
        <v>10</v>
      </c>
      <c r="D720" s="1" t="s">
        <v>15</v>
      </c>
      <c r="E720" s="1">
        <v>1</v>
      </c>
      <c r="F720" s="49">
        <v>10000</v>
      </c>
      <c r="G720" s="49">
        <v>10000</v>
      </c>
    </row>
    <row r="721" spans="1:7" x14ac:dyDescent="0.25">
      <c r="A721" s="1">
        <v>313</v>
      </c>
      <c r="B721" s="1">
        <v>1</v>
      </c>
      <c r="C721" s="1" t="s">
        <v>10</v>
      </c>
      <c r="D721" s="1" t="s">
        <v>15</v>
      </c>
      <c r="E721" s="1">
        <v>1</v>
      </c>
      <c r="F721" s="49">
        <v>10000</v>
      </c>
      <c r="G721" s="49">
        <v>10000</v>
      </c>
    </row>
    <row r="722" spans="1:7" x14ac:dyDescent="0.25">
      <c r="A722" s="1">
        <v>314</v>
      </c>
      <c r="B722" s="1">
        <v>1</v>
      </c>
      <c r="C722" s="1" t="s">
        <v>65</v>
      </c>
      <c r="D722" s="1" t="s">
        <v>16</v>
      </c>
      <c r="E722" s="1">
        <v>1</v>
      </c>
      <c r="F722" s="49">
        <v>10000</v>
      </c>
      <c r="G722" s="49">
        <v>10000</v>
      </c>
    </row>
    <row r="723" spans="1:7" x14ac:dyDescent="0.25">
      <c r="A723" s="1">
        <v>314</v>
      </c>
      <c r="B723" s="1">
        <v>2</v>
      </c>
      <c r="C723" s="1" t="s">
        <v>22</v>
      </c>
      <c r="D723" s="1" t="s">
        <v>104</v>
      </c>
      <c r="E723" s="1">
        <v>1</v>
      </c>
      <c r="F723" s="49">
        <v>7000</v>
      </c>
      <c r="G723" s="49">
        <v>7000</v>
      </c>
    </row>
    <row r="724" spans="1:7" x14ac:dyDescent="0.25">
      <c r="A724" s="1">
        <v>314</v>
      </c>
      <c r="B724" s="1">
        <v>3</v>
      </c>
      <c r="C724" s="1" t="s">
        <v>301</v>
      </c>
      <c r="D724" s="1" t="s">
        <v>191</v>
      </c>
      <c r="E724" s="1">
        <v>1</v>
      </c>
      <c r="F724" s="49">
        <v>3000</v>
      </c>
      <c r="G724" s="49">
        <v>3000</v>
      </c>
    </row>
    <row r="725" spans="1:7" x14ac:dyDescent="0.25">
      <c r="A725" s="1">
        <v>315</v>
      </c>
      <c r="B725" s="1">
        <v>1</v>
      </c>
      <c r="C725" s="1" t="s">
        <v>65</v>
      </c>
      <c r="D725" s="1" t="s">
        <v>16</v>
      </c>
      <c r="E725" s="1">
        <v>1</v>
      </c>
      <c r="F725" s="49">
        <v>10000</v>
      </c>
      <c r="G725" s="49">
        <v>10000</v>
      </c>
    </row>
    <row r="726" spans="1:7" x14ac:dyDescent="0.25">
      <c r="A726" s="1">
        <v>316</v>
      </c>
      <c r="B726" s="1">
        <v>1</v>
      </c>
      <c r="C726" s="1" t="s">
        <v>31</v>
      </c>
      <c r="D726" s="1" t="s">
        <v>109</v>
      </c>
      <c r="E726" s="1">
        <v>1</v>
      </c>
      <c r="F726" s="49">
        <v>6000</v>
      </c>
      <c r="G726" s="49">
        <v>6000</v>
      </c>
    </row>
    <row r="727" spans="1:7" x14ac:dyDescent="0.25">
      <c r="A727" s="1">
        <v>317</v>
      </c>
      <c r="B727" s="1">
        <v>1</v>
      </c>
      <c r="C727" s="1" t="s">
        <v>10</v>
      </c>
      <c r="D727" s="1" t="s">
        <v>15</v>
      </c>
      <c r="E727" s="1">
        <v>1</v>
      </c>
      <c r="F727" s="58">
        <v>10000</v>
      </c>
      <c r="G727" s="58">
        <v>10000</v>
      </c>
    </row>
    <row r="728" spans="1:7" x14ac:dyDescent="0.25">
      <c r="A728" s="1">
        <v>317</v>
      </c>
      <c r="B728" s="1">
        <v>2</v>
      </c>
      <c r="C728" s="1" t="s">
        <v>110</v>
      </c>
      <c r="D728" s="1" t="s">
        <v>115</v>
      </c>
      <c r="E728" s="1">
        <v>1</v>
      </c>
      <c r="F728" s="58">
        <v>6000</v>
      </c>
      <c r="G728" s="58">
        <v>6000</v>
      </c>
    </row>
    <row r="729" spans="1:7" ht="30" x14ac:dyDescent="0.25">
      <c r="A729" s="1">
        <v>321</v>
      </c>
      <c r="B729" s="1">
        <v>1</v>
      </c>
      <c r="C729" s="1" t="s">
        <v>113</v>
      </c>
      <c r="D729" s="1" t="s">
        <v>171</v>
      </c>
      <c r="E729" s="1">
        <v>1</v>
      </c>
      <c r="F729" s="58">
        <v>6000</v>
      </c>
      <c r="G729" s="58">
        <v>6000</v>
      </c>
    </row>
    <row r="730" spans="1:7" x14ac:dyDescent="0.25">
      <c r="A730" s="1">
        <v>323</v>
      </c>
      <c r="B730" s="1">
        <v>1</v>
      </c>
      <c r="C730" s="1" t="s">
        <v>28</v>
      </c>
      <c r="D730" s="1" t="s">
        <v>107</v>
      </c>
      <c r="E730" s="1">
        <v>1</v>
      </c>
      <c r="F730" s="58">
        <v>6000</v>
      </c>
      <c r="G730" s="58">
        <v>6000</v>
      </c>
    </row>
    <row r="731" spans="1:7" x14ac:dyDescent="0.25">
      <c r="A731" s="1">
        <v>323</v>
      </c>
      <c r="B731" s="1">
        <v>2</v>
      </c>
      <c r="C731" s="1" t="s">
        <v>130</v>
      </c>
      <c r="D731" s="1" t="s">
        <v>132</v>
      </c>
      <c r="E731" s="1">
        <v>1</v>
      </c>
      <c r="F731" s="58">
        <v>12000</v>
      </c>
      <c r="G731" s="58">
        <v>12000</v>
      </c>
    </row>
    <row r="732" spans="1:7" x14ac:dyDescent="0.25">
      <c r="A732" s="1">
        <v>319</v>
      </c>
      <c r="B732" s="1">
        <v>1</v>
      </c>
      <c r="C732" s="1" t="s">
        <v>22</v>
      </c>
      <c r="D732" s="1" t="s">
        <v>104</v>
      </c>
      <c r="E732" s="1">
        <v>2</v>
      </c>
      <c r="F732" s="58">
        <v>7000</v>
      </c>
      <c r="G732" s="58">
        <v>14000</v>
      </c>
    </row>
    <row r="733" spans="1:7" x14ac:dyDescent="0.25">
      <c r="A733" s="1">
        <v>319</v>
      </c>
      <c r="B733" s="1">
        <v>2</v>
      </c>
      <c r="C733" s="1" t="s">
        <v>131</v>
      </c>
      <c r="D733" s="1" t="s">
        <v>133</v>
      </c>
      <c r="E733" s="1">
        <v>1</v>
      </c>
      <c r="F733" s="58">
        <v>14000</v>
      </c>
      <c r="G733" s="58">
        <v>14000</v>
      </c>
    </row>
    <row r="734" spans="1:7" x14ac:dyDescent="0.25">
      <c r="A734" s="1">
        <v>319</v>
      </c>
      <c r="B734" s="1">
        <v>3</v>
      </c>
      <c r="C734" s="1" t="s">
        <v>158</v>
      </c>
      <c r="D734" s="1" t="s">
        <v>159</v>
      </c>
      <c r="E734" s="1">
        <v>4</v>
      </c>
      <c r="F734" s="58">
        <v>1400</v>
      </c>
      <c r="G734" s="58">
        <v>5600</v>
      </c>
    </row>
    <row r="735" spans="1:7" x14ac:dyDescent="0.25">
      <c r="A735" s="1">
        <v>319</v>
      </c>
      <c r="B735" s="1">
        <v>4</v>
      </c>
      <c r="C735" s="1" t="s">
        <v>28</v>
      </c>
      <c r="D735" s="1" t="s">
        <v>107</v>
      </c>
      <c r="E735" s="1">
        <v>1</v>
      </c>
      <c r="F735" s="58">
        <v>6000</v>
      </c>
      <c r="G735" s="58">
        <v>6000</v>
      </c>
    </row>
    <row r="736" spans="1:7" x14ac:dyDescent="0.25">
      <c r="A736" s="1">
        <v>319</v>
      </c>
      <c r="B736" s="1">
        <v>5</v>
      </c>
      <c r="C736" s="1" t="s">
        <v>10</v>
      </c>
      <c r="D736" s="1" t="s">
        <v>15</v>
      </c>
      <c r="E736" s="1">
        <v>1</v>
      </c>
      <c r="F736" s="58">
        <v>10000</v>
      </c>
      <c r="G736" s="58">
        <v>10000</v>
      </c>
    </row>
    <row r="737" spans="1:7" ht="30" x14ac:dyDescent="0.25">
      <c r="A737" s="1">
        <v>325</v>
      </c>
      <c r="B737" s="1">
        <v>1</v>
      </c>
      <c r="C737" s="1" t="s">
        <v>113</v>
      </c>
      <c r="D737" s="1" t="s">
        <v>171</v>
      </c>
      <c r="E737" s="1">
        <v>1</v>
      </c>
      <c r="F737" s="58">
        <v>6000</v>
      </c>
      <c r="G737" s="58">
        <v>6000</v>
      </c>
    </row>
    <row r="738" spans="1:7" x14ac:dyDescent="0.25">
      <c r="A738" s="1">
        <v>326</v>
      </c>
      <c r="B738" s="1">
        <v>1</v>
      </c>
      <c r="C738" s="1" t="s">
        <v>110</v>
      </c>
      <c r="D738" s="1" t="s">
        <v>115</v>
      </c>
      <c r="E738" s="1">
        <v>1</v>
      </c>
      <c r="F738" s="58">
        <v>6000</v>
      </c>
      <c r="G738" s="58">
        <v>6000</v>
      </c>
    </row>
    <row r="739" spans="1:7" x14ac:dyDescent="0.25">
      <c r="A739" s="1">
        <v>327</v>
      </c>
      <c r="B739" s="1">
        <v>1</v>
      </c>
      <c r="C739" s="1" t="s">
        <v>110</v>
      </c>
      <c r="D739" s="1" t="s">
        <v>115</v>
      </c>
      <c r="E739" s="1">
        <v>2</v>
      </c>
      <c r="F739" s="58">
        <v>6000</v>
      </c>
      <c r="G739" s="58">
        <v>12000</v>
      </c>
    </row>
    <row r="740" spans="1:7" x14ac:dyDescent="0.25">
      <c r="A740" s="1">
        <v>322</v>
      </c>
      <c r="B740" s="1">
        <v>1</v>
      </c>
      <c r="C740" s="1" t="s">
        <v>517</v>
      </c>
      <c r="D740" s="1" t="s">
        <v>518</v>
      </c>
      <c r="E740" s="1">
        <v>1</v>
      </c>
      <c r="F740" s="58">
        <v>7000</v>
      </c>
      <c r="G740" s="58">
        <v>7000</v>
      </c>
    </row>
    <row r="741" spans="1:7" x14ac:dyDescent="0.25">
      <c r="A741" s="1">
        <v>322</v>
      </c>
      <c r="B741" s="1">
        <v>2</v>
      </c>
      <c r="C741" s="1" t="s">
        <v>130</v>
      </c>
      <c r="D741" s="1" t="s">
        <v>132</v>
      </c>
      <c r="E741" s="1">
        <v>2</v>
      </c>
      <c r="F741" s="58">
        <v>12000</v>
      </c>
      <c r="G741" s="58">
        <v>24000</v>
      </c>
    </row>
    <row r="742" spans="1:7" x14ac:dyDescent="0.25">
      <c r="A742" s="1">
        <v>318</v>
      </c>
      <c r="B742" s="1">
        <v>1</v>
      </c>
      <c r="C742" s="1" t="s">
        <v>112</v>
      </c>
      <c r="D742" s="1" t="s">
        <v>114</v>
      </c>
      <c r="E742" s="1">
        <v>1</v>
      </c>
      <c r="F742" s="58">
        <v>6000</v>
      </c>
      <c r="G742" s="58">
        <v>6000</v>
      </c>
    </row>
    <row r="743" spans="1:7" x14ac:dyDescent="0.25">
      <c r="A743" s="1">
        <v>318</v>
      </c>
      <c r="B743" s="1">
        <v>2</v>
      </c>
      <c r="C743" s="1" t="s">
        <v>21</v>
      </c>
      <c r="D743" s="1" t="s">
        <v>5</v>
      </c>
      <c r="E743" s="1">
        <v>1</v>
      </c>
      <c r="F743" s="58">
        <v>3000</v>
      </c>
      <c r="G743" s="58">
        <v>3000</v>
      </c>
    </row>
    <row r="744" spans="1:7" x14ac:dyDescent="0.25">
      <c r="A744" s="1">
        <v>328</v>
      </c>
      <c r="B744" s="1">
        <v>1</v>
      </c>
      <c r="C744" s="1" t="s">
        <v>110</v>
      </c>
      <c r="D744" s="1" t="s">
        <v>115</v>
      </c>
      <c r="E744" s="1">
        <v>2</v>
      </c>
      <c r="F744" s="58">
        <v>6000</v>
      </c>
      <c r="G744" s="58">
        <v>12000</v>
      </c>
    </row>
    <row r="745" spans="1:7" x14ac:dyDescent="0.25">
      <c r="A745" s="1">
        <v>328</v>
      </c>
      <c r="B745" s="1">
        <v>2</v>
      </c>
      <c r="C745" s="1" t="s">
        <v>31</v>
      </c>
      <c r="D745" s="1" t="s">
        <v>109</v>
      </c>
      <c r="E745" s="1">
        <v>1</v>
      </c>
      <c r="F745" s="58">
        <v>6000</v>
      </c>
      <c r="G745" s="58">
        <v>6000</v>
      </c>
    </row>
    <row r="746" spans="1:7" x14ac:dyDescent="0.25">
      <c r="A746" s="1">
        <v>328</v>
      </c>
      <c r="B746" s="1">
        <v>3</v>
      </c>
      <c r="C746" s="1" t="s">
        <v>24</v>
      </c>
      <c r="D746" s="1" t="s">
        <v>105</v>
      </c>
      <c r="E746" s="1">
        <v>1</v>
      </c>
      <c r="F746" s="58">
        <v>7000</v>
      </c>
      <c r="G746" s="58">
        <v>7000</v>
      </c>
    </row>
    <row r="747" spans="1:7" x14ac:dyDescent="0.25">
      <c r="A747" s="1">
        <v>330</v>
      </c>
      <c r="B747" s="1">
        <v>1</v>
      </c>
      <c r="C747" s="1" t="s">
        <v>190</v>
      </c>
      <c r="D747" s="1" t="s">
        <v>184</v>
      </c>
      <c r="E747" s="1">
        <v>1</v>
      </c>
      <c r="F747" s="58">
        <v>6000</v>
      </c>
      <c r="G747" s="58">
        <v>6000</v>
      </c>
    </row>
    <row r="748" spans="1:7" x14ac:dyDescent="0.25">
      <c r="A748" s="1">
        <v>329</v>
      </c>
      <c r="B748" s="1">
        <v>1</v>
      </c>
      <c r="C748" s="1" t="s">
        <v>110</v>
      </c>
      <c r="D748" s="1" t="s">
        <v>115</v>
      </c>
      <c r="E748" s="1">
        <v>1</v>
      </c>
      <c r="F748" s="58">
        <v>6000</v>
      </c>
      <c r="G748" s="58">
        <v>6000</v>
      </c>
    </row>
    <row r="749" spans="1:7" x14ac:dyDescent="0.25">
      <c r="A749" s="1">
        <v>324</v>
      </c>
      <c r="B749" s="1">
        <v>1</v>
      </c>
      <c r="C749" s="1" t="s">
        <v>131</v>
      </c>
      <c r="D749" s="1" t="s">
        <v>133</v>
      </c>
      <c r="E749" s="1">
        <v>1</v>
      </c>
      <c r="F749" s="58">
        <v>14000</v>
      </c>
      <c r="G749" s="58">
        <v>14000</v>
      </c>
    </row>
    <row r="750" spans="1:7" x14ac:dyDescent="0.25">
      <c r="A750" s="1">
        <v>324</v>
      </c>
      <c r="B750" s="1">
        <v>2</v>
      </c>
      <c r="C750" s="1" t="s">
        <v>130</v>
      </c>
      <c r="D750" s="1" t="s">
        <v>132</v>
      </c>
      <c r="E750" s="1">
        <v>1</v>
      </c>
      <c r="F750" s="58">
        <v>12000</v>
      </c>
      <c r="G750" s="58">
        <v>12000</v>
      </c>
    </row>
    <row r="751" spans="1:7" x14ac:dyDescent="0.25">
      <c r="A751" s="1">
        <v>324</v>
      </c>
      <c r="B751" s="1">
        <v>3</v>
      </c>
      <c r="C751" s="1" t="s">
        <v>24</v>
      </c>
      <c r="D751" s="1" t="s">
        <v>105</v>
      </c>
      <c r="E751" s="1">
        <v>1</v>
      </c>
      <c r="F751" s="58">
        <v>7000</v>
      </c>
      <c r="G751" s="58">
        <v>7000</v>
      </c>
    </row>
    <row r="752" spans="1:7" x14ac:dyDescent="0.25">
      <c r="A752" s="1">
        <v>324</v>
      </c>
      <c r="B752" s="1">
        <v>4</v>
      </c>
      <c r="C752" s="1" t="s">
        <v>301</v>
      </c>
      <c r="D752" s="1" t="s">
        <v>191</v>
      </c>
      <c r="E752" s="1">
        <v>1</v>
      </c>
      <c r="F752" s="58">
        <v>3000</v>
      </c>
      <c r="G752" s="58">
        <v>3000</v>
      </c>
    </row>
    <row r="753" spans="1:7" x14ac:dyDescent="0.25">
      <c r="A753" s="1">
        <v>320</v>
      </c>
      <c r="B753" s="1">
        <v>1</v>
      </c>
      <c r="C753" s="1" t="s">
        <v>112</v>
      </c>
      <c r="D753" s="1" t="s">
        <v>114</v>
      </c>
      <c r="E753" s="1">
        <v>1</v>
      </c>
      <c r="F753" s="58">
        <v>6000</v>
      </c>
      <c r="G753" s="58">
        <v>6000</v>
      </c>
    </row>
    <row r="754" spans="1:7" x14ac:dyDescent="0.25">
      <c r="A754" s="1">
        <v>320</v>
      </c>
      <c r="B754" s="1">
        <v>2</v>
      </c>
      <c r="C754" s="1" t="s">
        <v>21</v>
      </c>
      <c r="D754" s="1" t="s">
        <v>5</v>
      </c>
      <c r="E754" s="1">
        <v>1</v>
      </c>
      <c r="F754" s="58">
        <v>3000</v>
      </c>
      <c r="G754" s="58">
        <v>3000</v>
      </c>
    </row>
    <row r="755" spans="1:7" x14ac:dyDescent="0.25">
      <c r="A755" s="1">
        <v>320</v>
      </c>
      <c r="B755" s="1">
        <v>3</v>
      </c>
      <c r="C755" s="1" t="s">
        <v>130</v>
      </c>
      <c r="D755" s="1" t="s">
        <v>132</v>
      </c>
      <c r="E755" s="1">
        <v>1</v>
      </c>
      <c r="F755" s="58">
        <v>12000</v>
      </c>
      <c r="G755" s="58">
        <v>12000</v>
      </c>
    </row>
    <row r="756" spans="1:7" x14ac:dyDescent="0.25">
      <c r="A756" s="1">
        <v>333</v>
      </c>
      <c r="B756" s="1">
        <v>1</v>
      </c>
      <c r="C756" s="1" t="s">
        <v>517</v>
      </c>
      <c r="D756" s="1" t="s">
        <v>518</v>
      </c>
      <c r="E756" s="1">
        <v>2</v>
      </c>
      <c r="F756" s="58">
        <v>7000</v>
      </c>
      <c r="G756" s="58">
        <v>14000</v>
      </c>
    </row>
    <row r="757" spans="1:7" ht="30" x14ac:dyDescent="0.25">
      <c r="A757" s="1">
        <v>334</v>
      </c>
      <c r="B757" s="1">
        <v>1</v>
      </c>
      <c r="C757" s="1" t="s">
        <v>113</v>
      </c>
      <c r="D757" s="1" t="s">
        <v>171</v>
      </c>
      <c r="E757" s="1">
        <v>1</v>
      </c>
      <c r="F757" s="58">
        <v>6000</v>
      </c>
      <c r="G757" s="58">
        <v>6000</v>
      </c>
    </row>
    <row r="758" spans="1:7" x14ac:dyDescent="0.25">
      <c r="A758" s="1">
        <v>335</v>
      </c>
      <c r="B758" s="1">
        <v>1</v>
      </c>
      <c r="C758" s="1" t="s">
        <v>65</v>
      </c>
      <c r="D758" s="1" t="s">
        <v>16</v>
      </c>
      <c r="E758" s="1">
        <v>1</v>
      </c>
      <c r="F758" s="58">
        <v>10000</v>
      </c>
      <c r="G758" s="58">
        <v>10000</v>
      </c>
    </row>
    <row r="759" spans="1:7" x14ac:dyDescent="0.25">
      <c r="A759" s="1">
        <v>336</v>
      </c>
      <c r="B759" s="1">
        <v>1</v>
      </c>
      <c r="C759" s="1" t="s">
        <v>65</v>
      </c>
      <c r="D759" s="1" t="s">
        <v>16</v>
      </c>
      <c r="E759" s="1">
        <v>1</v>
      </c>
      <c r="F759" s="58">
        <v>10000</v>
      </c>
      <c r="G759" s="58">
        <v>10000</v>
      </c>
    </row>
    <row r="760" spans="1:7" x14ac:dyDescent="0.25">
      <c r="A760" s="1">
        <v>338</v>
      </c>
      <c r="B760" s="1">
        <v>1</v>
      </c>
      <c r="C760" s="1" t="s">
        <v>182</v>
      </c>
      <c r="D760" s="1" t="s">
        <v>183</v>
      </c>
      <c r="E760" s="1">
        <v>1</v>
      </c>
      <c r="F760" s="58">
        <v>9000</v>
      </c>
      <c r="G760" s="58">
        <v>9000</v>
      </c>
    </row>
    <row r="761" spans="1:7" x14ac:dyDescent="0.25">
      <c r="A761" s="1">
        <v>332</v>
      </c>
      <c r="B761" s="1">
        <v>1</v>
      </c>
      <c r="C761" s="1" t="s">
        <v>186</v>
      </c>
      <c r="D761" s="1" t="s">
        <v>187</v>
      </c>
      <c r="E761" s="1">
        <v>2</v>
      </c>
      <c r="F761" s="58">
        <v>3000</v>
      </c>
      <c r="G761" s="58">
        <v>6000</v>
      </c>
    </row>
    <row r="762" spans="1:7" x14ac:dyDescent="0.25">
      <c r="A762" s="1">
        <v>332</v>
      </c>
      <c r="B762" s="1">
        <v>2</v>
      </c>
      <c r="C762" s="1" t="s">
        <v>30</v>
      </c>
      <c r="D762" s="1" t="s">
        <v>108</v>
      </c>
      <c r="E762" s="1">
        <v>1</v>
      </c>
      <c r="F762" s="58">
        <v>6000</v>
      </c>
      <c r="G762" s="58">
        <v>6000</v>
      </c>
    </row>
    <row r="763" spans="1:7" x14ac:dyDescent="0.25">
      <c r="A763" s="1">
        <v>332</v>
      </c>
      <c r="B763" s="1">
        <v>3</v>
      </c>
      <c r="C763" s="1" t="s">
        <v>28</v>
      </c>
      <c r="D763" s="1" t="s">
        <v>107</v>
      </c>
      <c r="E763" s="1">
        <v>2</v>
      </c>
      <c r="F763" s="58">
        <v>6000</v>
      </c>
      <c r="G763" s="58">
        <v>12000</v>
      </c>
    </row>
    <row r="764" spans="1:7" x14ac:dyDescent="0.25">
      <c r="A764" s="1">
        <v>332</v>
      </c>
      <c r="B764" s="1">
        <v>4</v>
      </c>
      <c r="C764" s="1" t="s">
        <v>21</v>
      </c>
      <c r="D764" s="1" t="s">
        <v>5</v>
      </c>
      <c r="E764" s="1">
        <v>2</v>
      </c>
      <c r="F764" s="58">
        <v>3000</v>
      </c>
      <c r="G764" s="58">
        <v>6000</v>
      </c>
    </row>
    <row r="765" spans="1:7" x14ac:dyDescent="0.25">
      <c r="A765" s="1">
        <v>332</v>
      </c>
      <c r="B765" s="1">
        <v>5</v>
      </c>
      <c r="C765" s="1" t="s">
        <v>182</v>
      </c>
      <c r="D765" s="1" t="s">
        <v>183</v>
      </c>
      <c r="E765" s="1">
        <v>3</v>
      </c>
      <c r="F765" s="58">
        <v>9000</v>
      </c>
      <c r="G765" s="58">
        <v>27000</v>
      </c>
    </row>
    <row r="766" spans="1:7" x14ac:dyDescent="0.25">
      <c r="A766" s="1">
        <v>332</v>
      </c>
      <c r="B766" s="1">
        <v>6</v>
      </c>
      <c r="C766" s="1" t="s">
        <v>24</v>
      </c>
      <c r="D766" s="1" t="s">
        <v>105</v>
      </c>
      <c r="E766" s="1">
        <v>1</v>
      </c>
      <c r="F766" s="58">
        <v>7000</v>
      </c>
      <c r="G766" s="58">
        <v>7000</v>
      </c>
    </row>
    <row r="767" spans="1:7" x14ac:dyDescent="0.25">
      <c r="A767" s="1">
        <v>332</v>
      </c>
      <c r="B767" s="1">
        <v>7</v>
      </c>
      <c r="C767" s="1" t="s">
        <v>65</v>
      </c>
      <c r="D767" s="1" t="s">
        <v>16</v>
      </c>
      <c r="E767" s="1">
        <v>4</v>
      </c>
      <c r="F767" s="58">
        <v>10000</v>
      </c>
      <c r="G767" s="58">
        <v>40000</v>
      </c>
    </row>
    <row r="768" spans="1:7" x14ac:dyDescent="0.25">
      <c r="A768" s="1">
        <v>340</v>
      </c>
      <c r="B768" s="1">
        <v>1</v>
      </c>
      <c r="C768" s="1" t="s">
        <v>65</v>
      </c>
      <c r="D768" s="1" t="s">
        <v>16</v>
      </c>
      <c r="E768" s="1">
        <v>1</v>
      </c>
      <c r="F768" s="58">
        <v>10000</v>
      </c>
      <c r="G768" s="58">
        <v>10000</v>
      </c>
    </row>
    <row r="769" spans="1:7" x14ac:dyDescent="0.25">
      <c r="A769" s="1">
        <v>340</v>
      </c>
      <c r="B769" s="1">
        <v>2</v>
      </c>
      <c r="C769" s="1" t="s">
        <v>24</v>
      </c>
      <c r="D769" s="1" t="s">
        <v>105</v>
      </c>
      <c r="E769" s="1">
        <v>2</v>
      </c>
      <c r="F769" s="58">
        <v>7000</v>
      </c>
      <c r="G769" s="58">
        <v>14000</v>
      </c>
    </row>
    <row r="770" spans="1:7" x14ac:dyDescent="0.25">
      <c r="A770" s="1">
        <v>331</v>
      </c>
      <c r="B770" s="1">
        <v>1</v>
      </c>
      <c r="C770" s="1" t="s">
        <v>22</v>
      </c>
      <c r="D770" s="1" t="s">
        <v>104</v>
      </c>
      <c r="E770" s="1">
        <v>1</v>
      </c>
      <c r="F770" s="58">
        <v>7000</v>
      </c>
      <c r="G770" s="58">
        <v>7000</v>
      </c>
    </row>
    <row r="771" spans="1:7" x14ac:dyDescent="0.25">
      <c r="A771" s="1">
        <v>331</v>
      </c>
      <c r="B771" s="1">
        <v>2</v>
      </c>
      <c r="C771" s="1" t="s">
        <v>24</v>
      </c>
      <c r="D771" s="1" t="s">
        <v>105</v>
      </c>
      <c r="E771" s="1">
        <v>1</v>
      </c>
      <c r="F771" s="58">
        <v>7000</v>
      </c>
      <c r="G771" s="58">
        <v>7000</v>
      </c>
    </row>
    <row r="772" spans="1:7" x14ac:dyDescent="0.25">
      <c r="A772" s="1">
        <v>331</v>
      </c>
      <c r="B772" s="1">
        <v>3</v>
      </c>
      <c r="C772" s="1" t="s">
        <v>27</v>
      </c>
      <c r="D772" s="1" t="s">
        <v>106</v>
      </c>
      <c r="E772" s="1">
        <v>1</v>
      </c>
      <c r="F772" s="58">
        <v>7000</v>
      </c>
      <c r="G772" s="58">
        <v>7000</v>
      </c>
    </row>
    <row r="773" spans="1:7" x14ac:dyDescent="0.25">
      <c r="A773" s="1">
        <v>331</v>
      </c>
      <c r="B773" s="1">
        <v>4</v>
      </c>
      <c r="C773" s="1" t="s">
        <v>186</v>
      </c>
      <c r="D773" s="1" t="s">
        <v>187</v>
      </c>
      <c r="E773" s="1">
        <v>2</v>
      </c>
      <c r="F773" s="58">
        <v>3000</v>
      </c>
      <c r="G773" s="58">
        <v>6000</v>
      </c>
    </row>
    <row r="774" spans="1:7" x14ac:dyDescent="0.25">
      <c r="A774" s="1">
        <v>331</v>
      </c>
      <c r="B774" s="1">
        <v>5</v>
      </c>
      <c r="C774" s="1" t="s">
        <v>65</v>
      </c>
      <c r="D774" s="1" t="s">
        <v>16</v>
      </c>
      <c r="E774" s="1">
        <v>1</v>
      </c>
      <c r="F774" s="58">
        <v>10000</v>
      </c>
      <c r="G774" s="58">
        <v>10000</v>
      </c>
    </row>
    <row r="775" spans="1:7" x14ac:dyDescent="0.25">
      <c r="A775" s="1">
        <v>331</v>
      </c>
      <c r="B775" s="1">
        <v>6</v>
      </c>
      <c r="C775" s="1" t="s">
        <v>182</v>
      </c>
      <c r="D775" s="1" t="s">
        <v>183</v>
      </c>
      <c r="E775" s="1">
        <v>1</v>
      </c>
      <c r="F775" s="58">
        <v>9000</v>
      </c>
      <c r="G775" s="58">
        <v>9000</v>
      </c>
    </row>
    <row r="776" spans="1:7" x14ac:dyDescent="0.25">
      <c r="A776" s="1">
        <v>331</v>
      </c>
      <c r="B776" s="1">
        <v>7</v>
      </c>
      <c r="C776" s="1" t="s">
        <v>33</v>
      </c>
      <c r="D776" s="1" t="s">
        <v>17</v>
      </c>
      <c r="E776" s="1">
        <v>6</v>
      </c>
      <c r="F776" s="58">
        <v>5000</v>
      </c>
      <c r="G776" s="58">
        <v>30000</v>
      </c>
    </row>
    <row r="777" spans="1:7" x14ac:dyDescent="0.25">
      <c r="A777" s="1">
        <v>339</v>
      </c>
      <c r="B777" s="1">
        <v>1</v>
      </c>
      <c r="C777" s="1" t="s">
        <v>22</v>
      </c>
      <c r="D777" s="1" t="s">
        <v>104</v>
      </c>
      <c r="E777" s="1">
        <v>1</v>
      </c>
      <c r="F777" s="58">
        <v>7000</v>
      </c>
      <c r="G777" s="58">
        <v>7000</v>
      </c>
    </row>
    <row r="778" spans="1:7" x14ac:dyDescent="0.25">
      <c r="A778" s="1">
        <v>339</v>
      </c>
      <c r="B778" s="1">
        <v>2</v>
      </c>
      <c r="C778" s="1" t="s">
        <v>301</v>
      </c>
      <c r="D778" s="1" t="s">
        <v>191</v>
      </c>
      <c r="E778" s="1">
        <v>1</v>
      </c>
      <c r="F778" s="58">
        <v>3000</v>
      </c>
      <c r="G778" s="58">
        <v>3000</v>
      </c>
    </row>
    <row r="779" spans="1:7" x14ac:dyDescent="0.25">
      <c r="A779" s="1">
        <v>339</v>
      </c>
      <c r="B779" s="1">
        <v>3</v>
      </c>
      <c r="C779" s="1" t="s">
        <v>32</v>
      </c>
      <c r="D779" s="1" t="s">
        <v>9</v>
      </c>
      <c r="E779" s="1">
        <v>2</v>
      </c>
      <c r="F779" s="58">
        <v>9000</v>
      </c>
      <c r="G779" s="58">
        <v>18000</v>
      </c>
    </row>
    <row r="780" spans="1:7" x14ac:dyDescent="0.25">
      <c r="A780" s="1">
        <v>341</v>
      </c>
      <c r="B780" s="1">
        <v>1</v>
      </c>
      <c r="C780" s="1" t="s">
        <v>158</v>
      </c>
      <c r="D780" s="1" t="s">
        <v>159</v>
      </c>
      <c r="E780" s="1">
        <v>5</v>
      </c>
      <c r="F780" s="58">
        <v>1400</v>
      </c>
      <c r="G780" s="58">
        <v>7000</v>
      </c>
    </row>
    <row r="781" spans="1:7" x14ac:dyDescent="0.25">
      <c r="A781" s="1">
        <v>342</v>
      </c>
      <c r="B781" s="1">
        <v>1</v>
      </c>
      <c r="C781" s="1" t="s">
        <v>182</v>
      </c>
      <c r="D781" s="1" t="s">
        <v>183</v>
      </c>
      <c r="E781" s="1">
        <v>1</v>
      </c>
      <c r="F781" s="58">
        <v>9000</v>
      </c>
      <c r="G781" s="58">
        <v>9000</v>
      </c>
    </row>
    <row r="782" spans="1:7" x14ac:dyDescent="0.25">
      <c r="A782" s="1">
        <v>337</v>
      </c>
      <c r="B782" s="1">
        <v>1</v>
      </c>
      <c r="C782" s="1" t="s">
        <v>24</v>
      </c>
      <c r="D782" s="1" t="s">
        <v>105</v>
      </c>
      <c r="E782" s="1">
        <v>1</v>
      </c>
      <c r="F782" s="58">
        <v>7000</v>
      </c>
      <c r="G782" s="58">
        <v>7000</v>
      </c>
    </row>
    <row r="783" spans="1:7" x14ac:dyDescent="0.25">
      <c r="A783" s="1">
        <v>337</v>
      </c>
      <c r="B783" s="1">
        <v>2</v>
      </c>
      <c r="C783" s="1" t="s">
        <v>302</v>
      </c>
      <c r="D783" s="1" t="s">
        <v>161</v>
      </c>
      <c r="E783" s="1">
        <v>6</v>
      </c>
      <c r="F783" s="58">
        <v>1200</v>
      </c>
      <c r="G783" s="58">
        <v>7200</v>
      </c>
    </row>
    <row r="784" spans="1:7" x14ac:dyDescent="0.25">
      <c r="A784" s="1">
        <v>343</v>
      </c>
      <c r="B784" s="1">
        <v>1</v>
      </c>
      <c r="C784" s="1" t="s">
        <v>28</v>
      </c>
      <c r="D784" s="1" t="s">
        <v>107</v>
      </c>
      <c r="E784" s="1">
        <v>1</v>
      </c>
      <c r="F784" s="58">
        <v>6000</v>
      </c>
      <c r="G784" s="58">
        <v>6000</v>
      </c>
    </row>
    <row r="785" spans="1:7" x14ac:dyDescent="0.25">
      <c r="A785" s="1">
        <v>343</v>
      </c>
      <c r="B785" s="1">
        <v>2</v>
      </c>
      <c r="C785" s="1" t="s">
        <v>182</v>
      </c>
      <c r="D785" s="1" t="s">
        <v>183</v>
      </c>
      <c r="E785" s="1">
        <v>4</v>
      </c>
      <c r="F785" s="58">
        <v>9000</v>
      </c>
      <c r="G785" s="58">
        <v>36000</v>
      </c>
    </row>
    <row r="786" spans="1:7" x14ac:dyDescent="0.25">
      <c r="A786" s="1">
        <v>343</v>
      </c>
      <c r="B786" s="1">
        <v>3</v>
      </c>
      <c r="C786" s="1" t="s">
        <v>517</v>
      </c>
      <c r="D786" s="1" t="s">
        <v>518</v>
      </c>
      <c r="E786" s="1">
        <v>1</v>
      </c>
      <c r="F786" s="58">
        <v>7000</v>
      </c>
      <c r="G786" s="58">
        <v>7000</v>
      </c>
    </row>
    <row r="787" spans="1:7" x14ac:dyDescent="0.25">
      <c r="A787" s="1">
        <v>343</v>
      </c>
      <c r="B787" s="1">
        <v>4</v>
      </c>
      <c r="C787" s="1" t="s">
        <v>65</v>
      </c>
      <c r="D787" s="1" t="s">
        <v>16</v>
      </c>
      <c r="E787" s="1">
        <v>1</v>
      </c>
      <c r="F787" s="58">
        <v>10000</v>
      </c>
      <c r="G787" s="58">
        <v>10000</v>
      </c>
    </row>
    <row r="788" spans="1:7" x14ac:dyDescent="0.25">
      <c r="A788" s="1">
        <v>344</v>
      </c>
      <c r="B788" s="1">
        <v>1</v>
      </c>
      <c r="C788" s="1" t="s">
        <v>21</v>
      </c>
      <c r="D788" s="1" t="s">
        <v>5</v>
      </c>
      <c r="E788" s="1">
        <v>2</v>
      </c>
      <c r="F788" s="58">
        <v>3000</v>
      </c>
      <c r="G788" s="58">
        <v>6000</v>
      </c>
    </row>
    <row r="789" spans="1:7" x14ac:dyDescent="0.25">
      <c r="A789" s="1">
        <v>344</v>
      </c>
      <c r="B789" s="1">
        <v>2</v>
      </c>
      <c r="C789" s="1" t="s">
        <v>65</v>
      </c>
      <c r="D789" s="1" t="s">
        <v>16</v>
      </c>
      <c r="E789" s="1">
        <v>1</v>
      </c>
      <c r="F789" s="58">
        <v>10000</v>
      </c>
      <c r="G789" s="58">
        <v>10000</v>
      </c>
    </row>
    <row r="790" spans="1:7" x14ac:dyDescent="0.25">
      <c r="A790" s="1">
        <v>345</v>
      </c>
      <c r="B790" s="1">
        <v>1</v>
      </c>
      <c r="C790" s="1" t="s">
        <v>112</v>
      </c>
      <c r="D790" s="1" t="s">
        <v>114</v>
      </c>
      <c r="E790" s="1">
        <v>1</v>
      </c>
      <c r="F790" s="58">
        <v>6000</v>
      </c>
      <c r="G790" s="58">
        <v>6000</v>
      </c>
    </row>
    <row r="791" spans="1:7" ht="30" x14ac:dyDescent="0.25">
      <c r="A791" s="1">
        <v>345</v>
      </c>
      <c r="B791" s="1">
        <v>2</v>
      </c>
      <c r="C791" s="1" t="s">
        <v>113</v>
      </c>
      <c r="D791" s="1" t="s">
        <v>171</v>
      </c>
      <c r="E791" s="1">
        <v>1</v>
      </c>
      <c r="F791" s="58">
        <v>6000</v>
      </c>
      <c r="G791" s="58">
        <v>6000</v>
      </c>
    </row>
    <row r="792" spans="1:7" x14ac:dyDescent="0.25">
      <c r="A792" s="1">
        <v>347</v>
      </c>
      <c r="B792" s="1">
        <v>1</v>
      </c>
      <c r="C792" s="1" t="s">
        <v>28</v>
      </c>
      <c r="D792" s="1" t="s">
        <v>107</v>
      </c>
      <c r="E792" s="1">
        <v>1</v>
      </c>
      <c r="F792" s="58">
        <v>6000</v>
      </c>
      <c r="G792" s="58">
        <v>6000</v>
      </c>
    </row>
    <row r="793" spans="1:7" x14ac:dyDescent="0.25">
      <c r="A793" s="1">
        <v>348</v>
      </c>
      <c r="B793" s="1">
        <v>1</v>
      </c>
      <c r="C793" s="1" t="s">
        <v>127</v>
      </c>
      <c r="D793" s="1" t="s">
        <v>128</v>
      </c>
      <c r="E793" s="1">
        <v>1</v>
      </c>
      <c r="F793" s="58">
        <v>4000</v>
      </c>
      <c r="G793" s="58">
        <v>4000</v>
      </c>
    </row>
    <row r="794" spans="1:7" x14ac:dyDescent="0.25">
      <c r="A794" s="1">
        <v>352</v>
      </c>
      <c r="B794" s="1">
        <v>1</v>
      </c>
      <c r="C794" s="1" t="s">
        <v>27</v>
      </c>
      <c r="D794" s="1" t="s">
        <v>106</v>
      </c>
      <c r="E794" s="1">
        <v>1</v>
      </c>
      <c r="F794" s="58">
        <v>7000</v>
      </c>
      <c r="G794" s="58">
        <v>7000</v>
      </c>
    </row>
    <row r="795" spans="1:7" x14ac:dyDescent="0.25">
      <c r="A795" s="1">
        <v>352</v>
      </c>
      <c r="B795" s="1">
        <v>2</v>
      </c>
      <c r="C795" s="1" t="s">
        <v>301</v>
      </c>
      <c r="D795" s="1" t="s">
        <v>191</v>
      </c>
      <c r="E795" s="1">
        <v>1</v>
      </c>
      <c r="F795" s="58">
        <v>3000</v>
      </c>
      <c r="G795" s="58">
        <v>3000</v>
      </c>
    </row>
    <row r="796" spans="1:7" x14ac:dyDescent="0.25">
      <c r="A796" s="1">
        <v>350</v>
      </c>
      <c r="B796" s="1">
        <v>1</v>
      </c>
      <c r="C796" s="1" t="s">
        <v>131</v>
      </c>
      <c r="D796" s="1" t="s">
        <v>133</v>
      </c>
      <c r="E796" s="1">
        <v>1</v>
      </c>
      <c r="F796" s="58">
        <v>14000</v>
      </c>
      <c r="G796" s="58">
        <v>14000</v>
      </c>
    </row>
    <row r="797" spans="1:7" x14ac:dyDescent="0.25">
      <c r="A797" s="1">
        <v>350</v>
      </c>
      <c r="B797" s="1">
        <v>2</v>
      </c>
      <c r="C797" s="1" t="s">
        <v>28</v>
      </c>
      <c r="D797" s="1" t="s">
        <v>107</v>
      </c>
      <c r="E797" s="1">
        <v>1</v>
      </c>
      <c r="F797" s="58">
        <v>6000</v>
      </c>
      <c r="G797" s="58">
        <v>6000</v>
      </c>
    </row>
    <row r="798" spans="1:7" x14ac:dyDescent="0.25">
      <c r="A798" s="1">
        <v>351</v>
      </c>
      <c r="B798" s="1">
        <v>1</v>
      </c>
      <c r="C798" s="1" t="s">
        <v>22</v>
      </c>
      <c r="D798" s="1" t="s">
        <v>104</v>
      </c>
      <c r="E798" s="1">
        <v>1</v>
      </c>
      <c r="F798" s="58">
        <v>7000</v>
      </c>
      <c r="G798" s="58">
        <v>7000</v>
      </c>
    </row>
    <row r="799" spans="1:7" x14ac:dyDescent="0.25">
      <c r="A799" s="1">
        <v>351</v>
      </c>
      <c r="B799" s="1">
        <v>2</v>
      </c>
      <c r="C799" s="1" t="s">
        <v>110</v>
      </c>
      <c r="D799" s="1" t="s">
        <v>115</v>
      </c>
      <c r="E799" s="1">
        <v>1</v>
      </c>
      <c r="F799" s="58">
        <v>6000</v>
      </c>
      <c r="G799" s="58">
        <v>6000</v>
      </c>
    </row>
    <row r="800" spans="1:7" x14ac:dyDescent="0.25">
      <c r="A800" s="1">
        <v>353</v>
      </c>
      <c r="B800" s="1">
        <v>1</v>
      </c>
      <c r="C800" s="1" t="s">
        <v>110</v>
      </c>
      <c r="D800" s="1" t="s">
        <v>115</v>
      </c>
      <c r="E800" s="1">
        <v>1</v>
      </c>
      <c r="F800" s="58">
        <v>6000</v>
      </c>
      <c r="G800" s="58">
        <v>6000</v>
      </c>
    </row>
    <row r="801" spans="1:7" x14ac:dyDescent="0.25">
      <c r="A801" s="1">
        <v>353</v>
      </c>
      <c r="B801" s="1">
        <v>2</v>
      </c>
      <c r="C801" s="1" t="s">
        <v>28</v>
      </c>
      <c r="D801" s="1" t="s">
        <v>107</v>
      </c>
      <c r="E801" s="1">
        <v>1</v>
      </c>
      <c r="F801" s="58">
        <v>6000</v>
      </c>
      <c r="G801" s="58">
        <v>6000</v>
      </c>
    </row>
    <row r="802" spans="1:7" x14ac:dyDescent="0.25">
      <c r="A802" s="1">
        <v>349</v>
      </c>
      <c r="B802" s="1">
        <v>1</v>
      </c>
      <c r="C802" s="1" t="s">
        <v>182</v>
      </c>
      <c r="D802" s="1" t="s">
        <v>183</v>
      </c>
      <c r="E802" s="1">
        <v>1</v>
      </c>
      <c r="F802" s="58">
        <v>9000</v>
      </c>
      <c r="G802" s="58">
        <v>9000</v>
      </c>
    </row>
    <row r="803" spans="1:7" x14ac:dyDescent="0.25">
      <c r="A803" s="1">
        <v>349</v>
      </c>
      <c r="B803" s="1">
        <v>2</v>
      </c>
      <c r="C803" s="1" t="s">
        <v>302</v>
      </c>
      <c r="D803" s="1" t="s">
        <v>161</v>
      </c>
      <c r="E803" s="1">
        <v>1</v>
      </c>
      <c r="F803" s="58">
        <v>1200</v>
      </c>
      <c r="G803" s="58">
        <v>1200</v>
      </c>
    </row>
    <row r="804" spans="1:7" x14ac:dyDescent="0.25">
      <c r="A804" s="1">
        <v>349</v>
      </c>
      <c r="B804" s="1">
        <v>3</v>
      </c>
      <c r="C804" s="1" t="s">
        <v>65</v>
      </c>
      <c r="D804" s="1" t="s">
        <v>16</v>
      </c>
      <c r="E804" s="1">
        <v>2</v>
      </c>
      <c r="F804" s="58">
        <v>10000</v>
      </c>
      <c r="G804" s="58">
        <v>20000</v>
      </c>
    </row>
    <row r="805" spans="1:7" x14ac:dyDescent="0.25">
      <c r="A805" s="1">
        <v>349</v>
      </c>
      <c r="B805" s="1">
        <v>4</v>
      </c>
      <c r="C805" s="1" t="s">
        <v>158</v>
      </c>
      <c r="D805" s="1" t="s">
        <v>159</v>
      </c>
      <c r="E805" s="1">
        <v>1</v>
      </c>
      <c r="F805" s="58">
        <v>1400</v>
      </c>
      <c r="G805" s="58">
        <v>1400</v>
      </c>
    </row>
    <row r="806" spans="1:7" x14ac:dyDescent="0.25">
      <c r="A806" s="1">
        <v>346</v>
      </c>
      <c r="B806" s="1">
        <v>1</v>
      </c>
      <c r="C806" s="1" t="s">
        <v>21</v>
      </c>
      <c r="D806" s="1" t="s">
        <v>5</v>
      </c>
      <c r="E806" s="1">
        <v>1</v>
      </c>
      <c r="F806" s="58">
        <v>3000</v>
      </c>
      <c r="G806" s="58">
        <v>3000</v>
      </c>
    </row>
    <row r="807" spans="1:7" x14ac:dyDescent="0.25">
      <c r="A807" s="1">
        <v>346</v>
      </c>
      <c r="B807" s="1">
        <v>2</v>
      </c>
      <c r="C807" s="1" t="s">
        <v>131</v>
      </c>
      <c r="D807" s="1" t="s">
        <v>133</v>
      </c>
      <c r="E807" s="1">
        <v>1</v>
      </c>
      <c r="F807" s="58">
        <v>14000</v>
      </c>
      <c r="G807" s="58">
        <v>14000</v>
      </c>
    </row>
    <row r="808" spans="1:7" x14ac:dyDescent="0.25">
      <c r="A808" s="1">
        <v>346</v>
      </c>
      <c r="B808" s="1">
        <v>3</v>
      </c>
      <c r="C808" s="1" t="s">
        <v>27</v>
      </c>
      <c r="D808" s="1" t="s">
        <v>106</v>
      </c>
      <c r="E808" s="1">
        <v>1</v>
      </c>
      <c r="F808" s="58">
        <v>7000</v>
      </c>
      <c r="G808" s="58">
        <v>7000</v>
      </c>
    </row>
    <row r="809" spans="1:7" x14ac:dyDescent="0.25">
      <c r="A809" s="1">
        <v>346</v>
      </c>
      <c r="B809" s="1">
        <v>4</v>
      </c>
      <c r="C809" s="1" t="s">
        <v>158</v>
      </c>
      <c r="D809" s="1" t="s">
        <v>159</v>
      </c>
      <c r="E809" s="1">
        <v>2</v>
      </c>
      <c r="F809" s="58">
        <v>1400</v>
      </c>
      <c r="G809" s="58">
        <v>2800</v>
      </c>
    </row>
    <row r="810" spans="1:7" x14ac:dyDescent="0.25">
      <c r="A810" s="1">
        <v>354</v>
      </c>
      <c r="B810" s="1">
        <v>1</v>
      </c>
      <c r="C810" s="1" t="s">
        <v>22</v>
      </c>
      <c r="D810" s="1" t="s">
        <v>104</v>
      </c>
      <c r="E810" s="1">
        <v>2</v>
      </c>
      <c r="F810" s="58">
        <v>7000</v>
      </c>
      <c r="G810" s="58">
        <v>14000</v>
      </c>
    </row>
    <row r="811" spans="1:7" x14ac:dyDescent="0.25">
      <c r="A811" s="1">
        <v>354</v>
      </c>
      <c r="B811" s="1">
        <v>2</v>
      </c>
      <c r="C811" s="1" t="s">
        <v>65</v>
      </c>
      <c r="D811" s="1" t="s">
        <v>16</v>
      </c>
      <c r="E811" s="1">
        <v>1</v>
      </c>
      <c r="F811" s="58">
        <v>10000</v>
      </c>
      <c r="G811" s="58">
        <v>10000</v>
      </c>
    </row>
    <row r="812" spans="1:7" x14ac:dyDescent="0.25">
      <c r="A812" s="1">
        <v>356</v>
      </c>
      <c r="B812" s="1">
        <v>1</v>
      </c>
      <c r="C812" s="1" t="s">
        <v>32</v>
      </c>
      <c r="D812" s="1" t="s">
        <v>9</v>
      </c>
      <c r="E812" s="1">
        <v>2</v>
      </c>
      <c r="F812" s="58">
        <v>9000</v>
      </c>
      <c r="G812" s="58">
        <v>18000</v>
      </c>
    </row>
    <row r="813" spans="1:7" x14ac:dyDescent="0.25">
      <c r="A813" s="1">
        <v>356</v>
      </c>
      <c r="B813" s="1">
        <v>2</v>
      </c>
      <c r="C813" s="1" t="s">
        <v>302</v>
      </c>
      <c r="D813" s="1" t="s">
        <v>161</v>
      </c>
      <c r="E813" s="1">
        <v>2</v>
      </c>
      <c r="F813" s="58">
        <v>1200</v>
      </c>
      <c r="G813" s="58">
        <v>2400</v>
      </c>
    </row>
    <row r="814" spans="1:7" x14ac:dyDescent="0.25">
      <c r="A814" s="1">
        <v>357</v>
      </c>
      <c r="B814" s="1">
        <v>1</v>
      </c>
      <c r="C814" s="1" t="s">
        <v>22</v>
      </c>
      <c r="D814" s="1" t="s">
        <v>104</v>
      </c>
      <c r="E814" s="1">
        <v>1</v>
      </c>
      <c r="F814" s="58">
        <v>7000</v>
      </c>
      <c r="G814" s="58">
        <v>7000</v>
      </c>
    </row>
    <row r="815" spans="1:7" x14ac:dyDescent="0.25">
      <c r="A815" s="1">
        <v>358</v>
      </c>
      <c r="B815" s="1">
        <v>1</v>
      </c>
      <c r="C815" s="1" t="s">
        <v>22</v>
      </c>
      <c r="D815" s="1" t="s">
        <v>104</v>
      </c>
      <c r="E815" s="1">
        <v>4</v>
      </c>
      <c r="F815" s="58">
        <v>7000</v>
      </c>
      <c r="G815" s="58">
        <v>28000</v>
      </c>
    </row>
    <row r="816" spans="1:7" x14ac:dyDescent="0.25">
      <c r="A816" s="1">
        <v>359</v>
      </c>
      <c r="B816" s="1">
        <v>1</v>
      </c>
      <c r="C816" s="1" t="s">
        <v>182</v>
      </c>
      <c r="D816" s="1" t="s">
        <v>183</v>
      </c>
      <c r="E816" s="1">
        <v>1</v>
      </c>
      <c r="F816" s="58">
        <v>9000</v>
      </c>
      <c r="G816" s="58">
        <v>9000</v>
      </c>
    </row>
    <row r="817" spans="1:7" x14ac:dyDescent="0.25">
      <c r="A817" s="1">
        <v>359</v>
      </c>
      <c r="B817" s="1">
        <v>2</v>
      </c>
      <c r="C817" s="1" t="s">
        <v>28</v>
      </c>
      <c r="D817" s="1" t="s">
        <v>107</v>
      </c>
      <c r="E817" s="1">
        <v>2</v>
      </c>
      <c r="F817" s="58">
        <v>6000</v>
      </c>
      <c r="G817" s="58">
        <v>12000</v>
      </c>
    </row>
    <row r="818" spans="1:7" x14ac:dyDescent="0.25">
      <c r="A818" s="1">
        <v>360</v>
      </c>
      <c r="B818" s="1">
        <v>1</v>
      </c>
      <c r="C818" s="1" t="s">
        <v>190</v>
      </c>
      <c r="D818" s="1" t="s">
        <v>184</v>
      </c>
      <c r="E818" s="1">
        <v>2</v>
      </c>
      <c r="F818" s="58">
        <v>6000</v>
      </c>
      <c r="G818" s="58">
        <v>12000</v>
      </c>
    </row>
    <row r="819" spans="1:7" x14ac:dyDescent="0.25">
      <c r="A819" s="1">
        <v>360</v>
      </c>
      <c r="B819" s="1">
        <v>2</v>
      </c>
      <c r="C819" s="1" t="s">
        <v>28</v>
      </c>
      <c r="D819" s="1" t="s">
        <v>107</v>
      </c>
      <c r="E819" s="1">
        <v>1</v>
      </c>
      <c r="F819" s="58">
        <v>6000</v>
      </c>
      <c r="G819" s="58">
        <v>6000</v>
      </c>
    </row>
    <row r="820" spans="1:7" x14ac:dyDescent="0.25">
      <c r="A820" s="1">
        <v>360</v>
      </c>
      <c r="B820" s="1">
        <v>3</v>
      </c>
      <c r="C820" s="1" t="s">
        <v>22</v>
      </c>
      <c r="D820" s="1" t="s">
        <v>104</v>
      </c>
      <c r="E820" s="1">
        <v>1</v>
      </c>
      <c r="F820" s="58">
        <v>7000</v>
      </c>
      <c r="G820" s="58">
        <v>7000</v>
      </c>
    </row>
    <row r="821" spans="1:7" x14ac:dyDescent="0.25">
      <c r="A821" s="1">
        <v>367</v>
      </c>
      <c r="B821" s="1">
        <v>1</v>
      </c>
      <c r="C821" s="1" t="s">
        <v>10</v>
      </c>
      <c r="D821" s="1" t="s">
        <v>15</v>
      </c>
      <c r="E821" s="1">
        <v>2</v>
      </c>
      <c r="F821" s="58">
        <v>10000</v>
      </c>
      <c r="G821" s="58">
        <v>20000</v>
      </c>
    </row>
    <row r="822" spans="1:7" x14ac:dyDescent="0.25">
      <c r="A822" s="1">
        <v>367</v>
      </c>
      <c r="B822" s="1">
        <v>2</v>
      </c>
      <c r="C822" s="1" t="s">
        <v>112</v>
      </c>
      <c r="D822" s="1" t="s">
        <v>114</v>
      </c>
      <c r="E822" s="1">
        <v>1</v>
      </c>
      <c r="F822" s="58">
        <v>6000</v>
      </c>
      <c r="G822" s="58">
        <v>6000</v>
      </c>
    </row>
    <row r="823" spans="1:7" x14ac:dyDescent="0.25">
      <c r="A823" s="1">
        <v>367</v>
      </c>
      <c r="B823" s="1">
        <v>3</v>
      </c>
      <c r="C823" s="1" t="s">
        <v>28</v>
      </c>
      <c r="D823" s="1" t="s">
        <v>107</v>
      </c>
      <c r="E823" s="1">
        <v>1</v>
      </c>
      <c r="F823" s="58">
        <v>6000</v>
      </c>
      <c r="G823" s="58">
        <v>6000</v>
      </c>
    </row>
    <row r="824" spans="1:7" x14ac:dyDescent="0.25">
      <c r="A824" s="1">
        <v>362</v>
      </c>
      <c r="B824" s="1">
        <v>1</v>
      </c>
      <c r="C824" s="1" t="s">
        <v>28</v>
      </c>
      <c r="D824" s="1" t="s">
        <v>107</v>
      </c>
      <c r="E824" s="1">
        <v>1</v>
      </c>
      <c r="F824" s="58">
        <v>6000</v>
      </c>
      <c r="G824" s="58">
        <v>6000</v>
      </c>
    </row>
    <row r="825" spans="1:7" x14ac:dyDescent="0.25">
      <c r="A825" s="1">
        <v>362</v>
      </c>
      <c r="B825" s="1">
        <v>2</v>
      </c>
      <c r="C825" s="1" t="s">
        <v>65</v>
      </c>
      <c r="D825" s="1" t="s">
        <v>16</v>
      </c>
      <c r="E825" s="1">
        <v>1</v>
      </c>
      <c r="F825" s="58">
        <v>10000</v>
      </c>
      <c r="G825" s="58">
        <v>10000</v>
      </c>
    </row>
    <row r="826" spans="1:7" x14ac:dyDescent="0.25">
      <c r="A826" s="1">
        <v>365</v>
      </c>
      <c r="B826" s="1">
        <v>1</v>
      </c>
      <c r="C826" s="1" t="s">
        <v>21</v>
      </c>
      <c r="D826" s="1" t="s">
        <v>5</v>
      </c>
      <c r="E826" s="1">
        <v>1</v>
      </c>
      <c r="F826" s="58">
        <v>3000</v>
      </c>
      <c r="G826" s="58">
        <v>3000</v>
      </c>
    </row>
    <row r="827" spans="1:7" x14ac:dyDescent="0.25">
      <c r="A827" s="1">
        <v>365</v>
      </c>
      <c r="B827" s="1">
        <v>2</v>
      </c>
      <c r="C827" s="1" t="s">
        <v>10</v>
      </c>
      <c r="D827" s="1" t="s">
        <v>15</v>
      </c>
      <c r="E827" s="1">
        <v>1</v>
      </c>
      <c r="F827" s="58">
        <v>10000</v>
      </c>
      <c r="G827" s="58">
        <v>10000</v>
      </c>
    </row>
    <row r="828" spans="1:7" x14ac:dyDescent="0.25">
      <c r="A828" s="1">
        <v>366</v>
      </c>
      <c r="B828" s="1">
        <v>1</v>
      </c>
      <c r="C828" s="1" t="s">
        <v>190</v>
      </c>
      <c r="D828" s="1" t="s">
        <v>184</v>
      </c>
      <c r="E828" s="1">
        <v>2</v>
      </c>
      <c r="F828" s="58">
        <v>6000</v>
      </c>
      <c r="G828" s="58">
        <v>12000</v>
      </c>
    </row>
    <row r="829" spans="1:7" x14ac:dyDescent="0.25">
      <c r="A829" s="1">
        <v>366</v>
      </c>
      <c r="B829" s="1">
        <v>2</v>
      </c>
      <c r="C829" s="1" t="s">
        <v>65</v>
      </c>
      <c r="D829" s="1" t="s">
        <v>16</v>
      </c>
      <c r="E829" s="1">
        <v>3</v>
      </c>
      <c r="F829" s="58">
        <v>10000</v>
      </c>
      <c r="G829" s="58">
        <v>30000</v>
      </c>
    </row>
    <row r="830" spans="1:7" x14ac:dyDescent="0.25">
      <c r="A830" s="1">
        <v>369</v>
      </c>
      <c r="B830" s="1">
        <v>1</v>
      </c>
      <c r="C830" s="1" t="s">
        <v>21</v>
      </c>
      <c r="D830" s="1" t="s">
        <v>5</v>
      </c>
      <c r="E830" s="1">
        <v>1</v>
      </c>
      <c r="F830" s="58">
        <v>3000</v>
      </c>
      <c r="G830" s="58">
        <v>3000</v>
      </c>
    </row>
    <row r="831" spans="1:7" x14ac:dyDescent="0.25">
      <c r="A831" s="1">
        <v>355</v>
      </c>
      <c r="B831" s="1">
        <v>1</v>
      </c>
      <c r="C831" s="1" t="s">
        <v>28</v>
      </c>
      <c r="D831" s="1" t="s">
        <v>107</v>
      </c>
      <c r="E831" s="1">
        <v>8</v>
      </c>
      <c r="F831" s="58">
        <v>6000</v>
      </c>
      <c r="G831" s="58">
        <v>48000</v>
      </c>
    </row>
    <row r="832" spans="1:7" x14ac:dyDescent="0.25">
      <c r="A832" s="1">
        <v>355</v>
      </c>
      <c r="B832" s="1">
        <v>2</v>
      </c>
      <c r="C832" s="1" t="s">
        <v>33</v>
      </c>
      <c r="D832" s="1" t="s">
        <v>17</v>
      </c>
      <c r="E832" s="1">
        <v>2</v>
      </c>
      <c r="F832" s="58">
        <v>5000</v>
      </c>
      <c r="G832" s="58">
        <v>10000</v>
      </c>
    </row>
    <row r="833" spans="1:7" x14ac:dyDescent="0.25">
      <c r="A833" s="1">
        <v>355</v>
      </c>
      <c r="B833" s="1">
        <v>3</v>
      </c>
      <c r="C833" s="1" t="s">
        <v>32</v>
      </c>
      <c r="D833" s="1" t="s">
        <v>9</v>
      </c>
      <c r="E833" s="1">
        <v>2</v>
      </c>
      <c r="F833" s="58">
        <v>9000</v>
      </c>
      <c r="G833" s="58">
        <v>18000</v>
      </c>
    </row>
    <row r="834" spans="1:7" x14ac:dyDescent="0.25">
      <c r="A834" s="1">
        <v>355</v>
      </c>
      <c r="B834" s="1">
        <v>4</v>
      </c>
      <c r="C834" s="1" t="s">
        <v>31</v>
      </c>
      <c r="D834" s="1" t="s">
        <v>109</v>
      </c>
      <c r="E834" s="1">
        <v>1</v>
      </c>
      <c r="F834" s="58">
        <v>6000</v>
      </c>
      <c r="G834" s="58">
        <v>6000</v>
      </c>
    </row>
    <row r="835" spans="1:7" x14ac:dyDescent="0.25">
      <c r="A835" s="1">
        <v>355</v>
      </c>
      <c r="B835" s="1">
        <v>5</v>
      </c>
      <c r="C835" s="1" t="s">
        <v>190</v>
      </c>
      <c r="D835" s="1" t="s">
        <v>184</v>
      </c>
      <c r="E835" s="1">
        <v>1</v>
      </c>
      <c r="F835" s="58">
        <v>6000</v>
      </c>
      <c r="G835" s="58">
        <v>6000</v>
      </c>
    </row>
    <row r="836" spans="1:7" x14ac:dyDescent="0.25">
      <c r="A836" s="1">
        <v>355</v>
      </c>
      <c r="B836" s="1">
        <v>6</v>
      </c>
      <c r="C836" s="1" t="s">
        <v>24</v>
      </c>
      <c r="D836" s="1" t="s">
        <v>105</v>
      </c>
      <c r="E836" s="1">
        <v>1</v>
      </c>
      <c r="F836" s="58">
        <v>7000</v>
      </c>
      <c r="G836" s="58">
        <v>7000</v>
      </c>
    </row>
    <row r="837" spans="1:7" x14ac:dyDescent="0.25">
      <c r="A837" s="1">
        <v>364</v>
      </c>
      <c r="B837" s="1">
        <v>1</v>
      </c>
      <c r="C837" s="1" t="s">
        <v>22</v>
      </c>
      <c r="D837" s="1" t="s">
        <v>104</v>
      </c>
      <c r="E837" s="1">
        <v>1</v>
      </c>
      <c r="F837" s="58">
        <v>7000</v>
      </c>
      <c r="G837" s="58">
        <v>7000</v>
      </c>
    </row>
    <row r="838" spans="1:7" x14ac:dyDescent="0.25">
      <c r="A838" s="1">
        <v>364</v>
      </c>
      <c r="B838" s="1">
        <v>2</v>
      </c>
      <c r="C838" s="1" t="s">
        <v>112</v>
      </c>
      <c r="D838" s="1" t="s">
        <v>114</v>
      </c>
      <c r="E838" s="1">
        <v>1</v>
      </c>
      <c r="F838" s="58">
        <v>6000</v>
      </c>
      <c r="G838" s="58">
        <v>6000</v>
      </c>
    </row>
    <row r="839" spans="1:7" x14ac:dyDescent="0.25">
      <c r="A839" s="1">
        <v>361</v>
      </c>
      <c r="B839" s="1">
        <v>1</v>
      </c>
      <c r="C839" s="1" t="s">
        <v>28</v>
      </c>
      <c r="D839" s="1" t="s">
        <v>107</v>
      </c>
      <c r="E839" s="1">
        <v>1</v>
      </c>
      <c r="F839" s="58">
        <v>6000</v>
      </c>
      <c r="G839" s="58">
        <v>6000</v>
      </c>
    </row>
    <row r="840" spans="1:7" x14ac:dyDescent="0.25">
      <c r="A840" s="1">
        <v>361</v>
      </c>
      <c r="B840" s="1">
        <v>2</v>
      </c>
      <c r="C840" s="1" t="s">
        <v>65</v>
      </c>
      <c r="D840" s="1" t="s">
        <v>16</v>
      </c>
      <c r="E840" s="1">
        <v>1</v>
      </c>
      <c r="F840" s="58">
        <v>10000</v>
      </c>
      <c r="G840" s="58">
        <v>10000</v>
      </c>
    </row>
    <row r="841" spans="1:7" x14ac:dyDescent="0.25">
      <c r="A841" s="1">
        <v>361</v>
      </c>
      <c r="B841" s="1">
        <v>3</v>
      </c>
      <c r="C841" s="1" t="s">
        <v>131</v>
      </c>
      <c r="D841" s="1" t="s">
        <v>133</v>
      </c>
      <c r="E841" s="1">
        <v>1</v>
      </c>
      <c r="F841" s="58">
        <v>14000</v>
      </c>
      <c r="G841" s="58">
        <v>14000</v>
      </c>
    </row>
    <row r="842" spans="1:7" x14ac:dyDescent="0.25">
      <c r="A842" s="1">
        <v>368</v>
      </c>
      <c r="B842" s="1">
        <v>1</v>
      </c>
      <c r="C842" s="1" t="s">
        <v>182</v>
      </c>
      <c r="D842" s="1" t="s">
        <v>183</v>
      </c>
      <c r="E842" s="1">
        <v>1</v>
      </c>
      <c r="F842" s="58">
        <v>9000</v>
      </c>
      <c r="G842" s="58">
        <v>9000</v>
      </c>
    </row>
    <row r="843" spans="1:7" x14ac:dyDescent="0.25">
      <c r="A843" s="1">
        <v>368</v>
      </c>
      <c r="B843" s="1">
        <v>2</v>
      </c>
      <c r="C843" s="1" t="s">
        <v>302</v>
      </c>
      <c r="D843" s="1" t="s">
        <v>161</v>
      </c>
      <c r="E843" s="1">
        <v>4</v>
      </c>
      <c r="F843" s="58">
        <v>1200</v>
      </c>
      <c r="G843" s="58">
        <v>4800</v>
      </c>
    </row>
    <row r="844" spans="1:7" x14ac:dyDescent="0.25">
      <c r="A844" s="1">
        <v>363</v>
      </c>
      <c r="B844" s="1">
        <v>1</v>
      </c>
      <c r="C844" s="1" t="s">
        <v>21</v>
      </c>
      <c r="D844" s="1" t="s">
        <v>5</v>
      </c>
      <c r="E844" s="1">
        <v>1</v>
      </c>
      <c r="F844" s="58">
        <v>3000</v>
      </c>
      <c r="G844" s="58">
        <v>3000</v>
      </c>
    </row>
    <row r="845" spans="1:7" x14ac:dyDescent="0.25">
      <c r="A845" s="1">
        <v>363</v>
      </c>
      <c r="B845" s="1">
        <v>2</v>
      </c>
      <c r="C845" s="1" t="s">
        <v>65</v>
      </c>
      <c r="D845" s="1" t="s">
        <v>16</v>
      </c>
      <c r="E845" s="1">
        <v>1</v>
      </c>
      <c r="F845" s="58">
        <v>10000</v>
      </c>
      <c r="G845" s="58">
        <v>10000</v>
      </c>
    </row>
    <row r="846" spans="1:7" x14ac:dyDescent="0.25">
      <c r="A846" s="1">
        <v>363</v>
      </c>
      <c r="B846" s="1">
        <v>3</v>
      </c>
      <c r="C846" s="1" t="s">
        <v>27</v>
      </c>
      <c r="D846" s="1" t="s">
        <v>106</v>
      </c>
      <c r="E846" s="1">
        <v>1</v>
      </c>
      <c r="F846" s="58">
        <v>7000</v>
      </c>
      <c r="G846" s="58">
        <v>7000</v>
      </c>
    </row>
    <row r="847" spans="1:7" x14ac:dyDescent="0.25">
      <c r="A847" s="1">
        <v>370</v>
      </c>
      <c r="B847" s="1">
        <v>1</v>
      </c>
      <c r="C847" s="1" t="s">
        <v>21</v>
      </c>
      <c r="D847" s="1" t="s">
        <v>5</v>
      </c>
      <c r="E847" s="1">
        <v>1</v>
      </c>
      <c r="F847" s="58">
        <v>3000</v>
      </c>
      <c r="G847" s="58">
        <v>3000</v>
      </c>
    </row>
    <row r="848" spans="1:7" x14ac:dyDescent="0.25">
      <c r="A848" s="1">
        <v>371</v>
      </c>
      <c r="B848" s="1">
        <v>1</v>
      </c>
      <c r="C848" s="1" t="s">
        <v>127</v>
      </c>
      <c r="D848" s="1" t="s">
        <v>128</v>
      </c>
      <c r="E848" s="1">
        <v>1</v>
      </c>
      <c r="F848" s="58">
        <v>4000</v>
      </c>
      <c r="G848" s="58">
        <v>4000</v>
      </c>
    </row>
    <row r="849" spans="1:7" x14ac:dyDescent="0.25">
      <c r="A849" s="1">
        <v>374</v>
      </c>
      <c r="B849" s="1">
        <v>1</v>
      </c>
      <c r="C849" s="1" t="s">
        <v>10</v>
      </c>
      <c r="D849" s="1" t="s">
        <v>15</v>
      </c>
      <c r="E849" s="1">
        <v>1</v>
      </c>
      <c r="F849" s="58">
        <v>10000</v>
      </c>
      <c r="G849" s="58">
        <v>10000</v>
      </c>
    </row>
    <row r="850" spans="1:7" x14ac:dyDescent="0.25">
      <c r="A850" s="1">
        <v>375</v>
      </c>
      <c r="B850" s="1">
        <v>1</v>
      </c>
      <c r="C850" s="1" t="s">
        <v>127</v>
      </c>
      <c r="D850" s="1" t="s">
        <v>128</v>
      </c>
      <c r="E850" s="1">
        <v>1</v>
      </c>
      <c r="F850" s="58">
        <v>4000</v>
      </c>
      <c r="G850" s="58">
        <v>4000</v>
      </c>
    </row>
    <row r="851" spans="1:7" x14ac:dyDescent="0.25">
      <c r="A851" s="1">
        <v>376</v>
      </c>
      <c r="B851" s="1">
        <v>1</v>
      </c>
      <c r="C851" s="1" t="s">
        <v>65</v>
      </c>
      <c r="D851" s="1" t="s">
        <v>16</v>
      </c>
      <c r="E851" s="1">
        <v>1</v>
      </c>
      <c r="F851" s="58">
        <v>10000</v>
      </c>
      <c r="G851" s="58">
        <v>10000</v>
      </c>
    </row>
    <row r="852" spans="1:7" x14ac:dyDescent="0.25">
      <c r="A852" s="1">
        <v>377</v>
      </c>
      <c r="B852" s="1">
        <v>1</v>
      </c>
      <c r="C852" s="1" t="s">
        <v>22</v>
      </c>
      <c r="D852" s="1" t="s">
        <v>104</v>
      </c>
      <c r="E852" s="1">
        <v>2</v>
      </c>
      <c r="F852" s="58">
        <v>7000</v>
      </c>
      <c r="G852" s="58">
        <v>14000</v>
      </c>
    </row>
    <row r="853" spans="1:7" x14ac:dyDescent="0.25">
      <c r="A853" s="1">
        <v>372</v>
      </c>
      <c r="B853" s="1">
        <v>1</v>
      </c>
      <c r="C853" s="1" t="s">
        <v>182</v>
      </c>
      <c r="D853" s="1" t="s">
        <v>183</v>
      </c>
      <c r="E853" s="1">
        <v>1</v>
      </c>
      <c r="F853" s="58">
        <v>9000</v>
      </c>
      <c r="G853" s="58">
        <v>9000</v>
      </c>
    </row>
    <row r="854" spans="1:7" x14ac:dyDescent="0.25">
      <c r="A854" s="1">
        <v>372</v>
      </c>
      <c r="B854" s="1">
        <v>2</v>
      </c>
      <c r="C854" s="1" t="s">
        <v>65</v>
      </c>
      <c r="D854" s="1" t="s">
        <v>16</v>
      </c>
      <c r="E854" s="1">
        <v>2</v>
      </c>
      <c r="F854" s="58">
        <v>10000</v>
      </c>
      <c r="G854" s="58">
        <v>20000</v>
      </c>
    </row>
    <row r="855" spans="1:7" x14ac:dyDescent="0.25">
      <c r="A855" s="1">
        <v>372</v>
      </c>
      <c r="B855" s="1">
        <v>3</v>
      </c>
      <c r="C855" s="1" t="s">
        <v>28</v>
      </c>
      <c r="D855" s="1" t="s">
        <v>107</v>
      </c>
      <c r="E855" s="1">
        <v>1</v>
      </c>
      <c r="F855" s="58">
        <v>6000</v>
      </c>
      <c r="G855" s="58">
        <v>6000</v>
      </c>
    </row>
    <row r="856" spans="1:7" x14ac:dyDescent="0.25">
      <c r="A856" s="1">
        <v>379</v>
      </c>
      <c r="B856" s="1">
        <v>1</v>
      </c>
      <c r="C856" s="1" t="s">
        <v>110</v>
      </c>
      <c r="D856" s="1" t="s">
        <v>115</v>
      </c>
      <c r="E856" s="1">
        <v>1</v>
      </c>
      <c r="F856" s="58">
        <v>6000</v>
      </c>
      <c r="G856" s="58">
        <v>6000</v>
      </c>
    </row>
    <row r="857" spans="1:7" x14ac:dyDescent="0.25">
      <c r="A857" s="1">
        <v>380</v>
      </c>
      <c r="B857" s="1">
        <v>1</v>
      </c>
      <c r="C857" s="1" t="s">
        <v>190</v>
      </c>
      <c r="D857" s="1" t="s">
        <v>184</v>
      </c>
      <c r="E857" s="1">
        <v>2</v>
      </c>
      <c r="F857" s="58">
        <v>6000</v>
      </c>
      <c r="G857" s="58">
        <v>12000</v>
      </c>
    </row>
    <row r="858" spans="1:7" x14ac:dyDescent="0.25">
      <c r="A858" s="1">
        <v>380</v>
      </c>
      <c r="B858" s="1">
        <v>2</v>
      </c>
      <c r="C858" s="1" t="s">
        <v>10</v>
      </c>
      <c r="D858" s="1" t="s">
        <v>15</v>
      </c>
      <c r="E858" s="1">
        <v>1</v>
      </c>
      <c r="F858" s="58">
        <v>10000</v>
      </c>
      <c r="G858" s="58">
        <v>10000</v>
      </c>
    </row>
    <row r="859" spans="1:7" x14ac:dyDescent="0.25">
      <c r="A859" s="1">
        <v>373</v>
      </c>
      <c r="B859" s="1">
        <v>1</v>
      </c>
      <c r="C859" s="1" t="s">
        <v>21</v>
      </c>
      <c r="D859" s="1" t="s">
        <v>5</v>
      </c>
      <c r="E859" s="1">
        <v>1</v>
      </c>
      <c r="F859" s="58">
        <v>3000</v>
      </c>
      <c r="G859" s="58">
        <v>3000</v>
      </c>
    </row>
    <row r="860" spans="1:7" x14ac:dyDescent="0.25">
      <c r="A860" s="1">
        <v>373</v>
      </c>
      <c r="B860" s="1">
        <v>2</v>
      </c>
      <c r="C860" s="1" t="s">
        <v>65</v>
      </c>
      <c r="D860" s="1" t="s">
        <v>16</v>
      </c>
      <c r="E860" s="1">
        <v>1</v>
      </c>
      <c r="F860" s="58">
        <v>10000</v>
      </c>
      <c r="G860" s="58">
        <v>10000</v>
      </c>
    </row>
    <row r="861" spans="1:7" x14ac:dyDescent="0.25">
      <c r="A861" s="1">
        <v>373</v>
      </c>
      <c r="B861" s="1">
        <v>3</v>
      </c>
      <c r="C861" s="1" t="s">
        <v>10</v>
      </c>
      <c r="D861" s="1" t="s">
        <v>15</v>
      </c>
      <c r="E861" s="1">
        <v>1</v>
      </c>
      <c r="F861" s="58">
        <v>10000</v>
      </c>
      <c r="G861" s="58">
        <v>10000</v>
      </c>
    </row>
    <row r="862" spans="1:7" x14ac:dyDescent="0.25">
      <c r="A862" s="1">
        <v>373</v>
      </c>
      <c r="B862" s="1">
        <v>4</v>
      </c>
      <c r="C862" s="1" t="s">
        <v>130</v>
      </c>
      <c r="D862" s="1" t="s">
        <v>132</v>
      </c>
      <c r="E862" s="1">
        <v>1</v>
      </c>
      <c r="F862" s="58">
        <v>12000</v>
      </c>
      <c r="G862" s="58">
        <v>12000</v>
      </c>
    </row>
    <row r="863" spans="1:7" x14ac:dyDescent="0.25">
      <c r="A863" s="1">
        <v>382</v>
      </c>
      <c r="B863" s="1">
        <v>1</v>
      </c>
      <c r="C863" s="1" t="s">
        <v>112</v>
      </c>
      <c r="D863" s="1" t="s">
        <v>114</v>
      </c>
      <c r="E863" s="1">
        <v>1</v>
      </c>
      <c r="F863" s="58">
        <v>6000</v>
      </c>
      <c r="G863" s="58">
        <v>6000</v>
      </c>
    </row>
    <row r="864" spans="1:7" ht="30" x14ac:dyDescent="0.25">
      <c r="A864" s="1">
        <v>382</v>
      </c>
      <c r="B864" s="1">
        <v>2</v>
      </c>
      <c r="C864" s="1" t="s">
        <v>113</v>
      </c>
      <c r="D864" s="1" t="s">
        <v>171</v>
      </c>
      <c r="E864" s="1">
        <v>1</v>
      </c>
      <c r="F864" s="58">
        <v>6000</v>
      </c>
      <c r="G864" s="58">
        <v>6000</v>
      </c>
    </row>
    <row r="865" spans="1:7" x14ac:dyDescent="0.25">
      <c r="A865" s="1">
        <v>383</v>
      </c>
      <c r="B865" s="1">
        <v>1</v>
      </c>
      <c r="C865" s="1" t="s">
        <v>10</v>
      </c>
      <c r="D865" s="1" t="s">
        <v>15</v>
      </c>
      <c r="E865" s="1">
        <v>1</v>
      </c>
      <c r="F865" s="58">
        <v>10000</v>
      </c>
      <c r="G865" s="58">
        <v>10000</v>
      </c>
    </row>
    <row r="866" spans="1:7" x14ac:dyDescent="0.25">
      <c r="A866" s="1">
        <v>384</v>
      </c>
      <c r="B866" s="1">
        <v>1</v>
      </c>
      <c r="C866" s="1" t="s">
        <v>65</v>
      </c>
      <c r="D866" s="1" t="s">
        <v>16</v>
      </c>
      <c r="E866" s="1">
        <v>1</v>
      </c>
      <c r="F866" s="58">
        <v>10000</v>
      </c>
      <c r="G866" s="58">
        <v>10000</v>
      </c>
    </row>
    <row r="867" spans="1:7" x14ac:dyDescent="0.25">
      <c r="A867" s="1">
        <v>381</v>
      </c>
      <c r="B867" s="1">
        <v>1</v>
      </c>
      <c r="C867" s="1" t="s">
        <v>10</v>
      </c>
      <c r="D867" s="1" t="s">
        <v>15</v>
      </c>
      <c r="E867" s="1">
        <v>1</v>
      </c>
      <c r="F867" s="58">
        <v>10000</v>
      </c>
      <c r="G867" s="58">
        <v>10000</v>
      </c>
    </row>
    <row r="868" spans="1:7" ht="30" x14ac:dyDescent="0.25">
      <c r="A868" s="1">
        <v>381</v>
      </c>
      <c r="B868" s="1">
        <v>2</v>
      </c>
      <c r="C868" s="1" t="s">
        <v>113</v>
      </c>
      <c r="D868" s="1" t="s">
        <v>171</v>
      </c>
      <c r="E868" s="1">
        <v>1</v>
      </c>
      <c r="F868" s="58">
        <v>6000</v>
      </c>
      <c r="G868" s="58">
        <v>6000</v>
      </c>
    </row>
    <row r="869" spans="1:7" x14ac:dyDescent="0.25">
      <c r="A869" s="1">
        <v>378</v>
      </c>
      <c r="B869" s="1">
        <v>1</v>
      </c>
      <c r="C869" s="1" t="s">
        <v>24</v>
      </c>
      <c r="D869" s="1" t="s">
        <v>105</v>
      </c>
      <c r="E869" s="1">
        <v>2</v>
      </c>
      <c r="F869" s="58">
        <v>7000</v>
      </c>
      <c r="G869" s="58">
        <v>14000</v>
      </c>
    </row>
    <row r="870" spans="1:7" x14ac:dyDescent="0.25">
      <c r="A870" s="1">
        <v>388</v>
      </c>
      <c r="B870" s="1">
        <v>1</v>
      </c>
      <c r="C870" s="1" t="s">
        <v>21</v>
      </c>
      <c r="D870" s="1" t="s">
        <v>5</v>
      </c>
      <c r="E870" s="1">
        <v>1</v>
      </c>
      <c r="F870" s="58">
        <v>3000</v>
      </c>
      <c r="G870" s="58">
        <v>3000</v>
      </c>
    </row>
    <row r="871" spans="1:7" x14ac:dyDescent="0.25">
      <c r="A871" s="1">
        <v>390</v>
      </c>
      <c r="B871" s="1">
        <v>1</v>
      </c>
      <c r="C871" s="1" t="s">
        <v>10</v>
      </c>
      <c r="D871" s="1" t="s">
        <v>15</v>
      </c>
      <c r="E871" s="1">
        <v>1</v>
      </c>
      <c r="F871" s="58">
        <v>10000</v>
      </c>
      <c r="G871" s="58">
        <v>10000</v>
      </c>
    </row>
    <row r="872" spans="1:7" x14ac:dyDescent="0.25">
      <c r="A872" s="1">
        <v>390</v>
      </c>
      <c r="B872" s="1">
        <v>2</v>
      </c>
      <c r="C872" s="1" t="s">
        <v>112</v>
      </c>
      <c r="D872" s="1" t="s">
        <v>114</v>
      </c>
      <c r="E872" s="1">
        <v>1</v>
      </c>
      <c r="F872" s="58">
        <v>6000</v>
      </c>
      <c r="G872" s="58">
        <v>6000</v>
      </c>
    </row>
    <row r="873" spans="1:7" x14ac:dyDescent="0.25">
      <c r="A873" s="1">
        <v>390</v>
      </c>
      <c r="B873" s="1">
        <v>3</v>
      </c>
      <c r="C873" s="1" t="s">
        <v>110</v>
      </c>
      <c r="D873" s="1" t="s">
        <v>115</v>
      </c>
      <c r="E873" s="1">
        <v>1</v>
      </c>
      <c r="F873" s="58">
        <v>6000</v>
      </c>
      <c r="G873" s="58">
        <v>6000</v>
      </c>
    </row>
    <row r="874" spans="1:7" x14ac:dyDescent="0.25">
      <c r="A874" s="1">
        <v>389</v>
      </c>
      <c r="B874" s="1">
        <v>1</v>
      </c>
      <c r="C874" s="1" t="s">
        <v>21</v>
      </c>
      <c r="D874" s="1" t="s">
        <v>5</v>
      </c>
      <c r="E874" s="1">
        <v>2</v>
      </c>
      <c r="F874" s="58">
        <v>3000</v>
      </c>
      <c r="G874" s="58">
        <v>6000</v>
      </c>
    </row>
    <row r="875" spans="1:7" x14ac:dyDescent="0.25">
      <c r="A875" s="1">
        <v>392</v>
      </c>
      <c r="B875" s="1">
        <v>1</v>
      </c>
      <c r="C875" s="1" t="s">
        <v>21</v>
      </c>
      <c r="D875" s="1" t="s">
        <v>5</v>
      </c>
      <c r="E875" s="1">
        <v>3</v>
      </c>
      <c r="F875" s="58">
        <v>3000</v>
      </c>
      <c r="G875" s="58">
        <v>9000</v>
      </c>
    </row>
    <row r="876" spans="1:7" x14ac:dyDescent="0.25">
      <c r="A876" s="1">
        <v>392</v>
      </c>
      <c r="B876" s="1">
        <v>2</v>
      </c>
      <c r="C876" s="1" t="s">
        <v>28</v>
      </c>
      <c r="D876" s="1" t="s">
        <v>107</v>
      </c>
      <c r="E876" s="1">
        <v>1</v>
      </c>
      <c r="F876" s="58">
        <v>6000</v>
      </c>
      <c r="G876" s="58">
        <v>6000</v>
      </c>
    </row>
    <row r="877" spans="1:7" x14ac:dyDescent="0.25">
      <c r="A877" s="1">
        <v>386</v>
      </c>
      <c r="B877" s="1">
        <v>1</v>
      </c>
      <c r="C877" s="1" t="s">
        <v>21</v>
      </c>
      <c r="D877" s="1" t="s">
        <v>5</v>
      </c>
      <c r="E877" s="1">
        <v>3</v>
      </c>
      <c r="F877" s="58">
        <v>3000</v>
      </c>
      <c r="G877" s="58">
        <v>9000</v>
      </c>
    </row>
    <row r="878" spans="1:7" x14ac:dyDescent="0.25">
      <c r="A878" s="1">
        <v>387</v>
      </c>
      <c r="B878" s="1">
        <v>1</v>
      </c>
      <c r="C878" s="1" t="s">
        <v>21</v>
      </c>
      <c r="D878" s="1" t="s">
        <v>5</v>
      </c>
      <c r="E878" s="1">
        <v>2</v>
      </c>
      <c r="F878" s="58">
        <v>3000</v>
      </c>
      <c r="G878" s="58">
        <v>6000</v>
      </c>
    </row>
    <row r="879" spans="1:7" x14ac:dyDescent="0.25">
      <c r="A879" s="1">
        <v>391</v>
      </c>
      <c r="B879" s="1">
        <v>1</v>
      </c>
      <c r="C879" s="1" t="s">
        <v>21</v>
      </c>
      <c r="D879" s="1" t="s">
        <v>5</v>
      </c>
      <c r="E879" s="1">
        <v>4</v>
      </c>
      <c r="F879" s="58">
        <v>3000</v>
      </c>
      <c r="G879" s="58">
        <v>12000</v>
      </c>
    </row>
    <row r="880" spans="1:7" x14ac:dyDescent="0.25">
      <c r="A880" s="1">
        <v>391</v>
      </c>
      <c r="B880" s="1">
        <v>2</v>
      </c>
      <c r="C880" s="1" t="s">
        <v>10</v>
      </c>
      <c r="D880" s="1" t="s">
        <v>15</v>
      </c>
      <c r="E880" s="1">
        <v>1</v>
      </c>
      <c r="F880" s="58">
        <v>10000</v>
      </c>
      <c r="G880" s="58">
        <v>10000</v>
      </c>
    </row>
    <row r="881" spans="1:7" x14ac:dyDescent="0.25">
      <c r="A881" s="1">
        <v>394</v>
      </c>
      <c r="B881" s="1">
        <v>1</v>
      </c>
      <c r="C881" s="1" t="s">
        <v>130</v>
      </c>
      <c r="D881" s="1" t="s">
        <v>132</v>
      </c>
      <c r="E881" s="1">
        <v>1</v>
      </c>
      <c r="F881" s="58">
        <v>12000</v>
      </c>
      <c r="G881" s="58">
        <v>12000</v>
      </c>
    </row>
    <row r="882" spans="1:7" x14ac:dyDescent="0.25">
      <c r="A882" s="1">
        <v>395</v>
      </c>
      <c r="B882" s="1">
        <v>1</v>
      </c>
      <c r="C882" s="1" t="s">
        <v>21</v>
      </c>
      <c r="D882" s="1" t="s">
        <v>5</v>
      </c>
      <c r="E882" s="1">
        <v>1</v>
      </c>
      <c r="F882" s="58">
        <v>3000</v>
      </c>
      <c r="G882" s="58">
        <v>3000</v>
      </c>
    </row>
    <row r="883" spans="1:7" x14ac:dyDescent="0.25">
      <c r="A883" s="1">
        <v>397</v>
      </c>
      <c r="B883" s="1">
        <v>1</v>
      </c>
      <c r="C883" s="1" t="s">
        <v>130</v>
      </c>
      <c r="D883" s="1" t="s">
        <v>132</v>
      </c>
      <c r="E883" s="1">
        <v>1</v>
      </c>
      <c r="F883" s="58">
        <v>12000</v>
      </c>
      <c r="G883" s="58">
        <v>12000</v>
      </c>
    </row>
    <row r="884" spans="1:7" x14ac:dyDescent="0.25">
      <c r="A884" s="1">
        <v>393</v>
      </c>
      <c r="B884" s="1">
        <v>1</v>
      </c>
      <c r="C884" s="1" t="s">
        <v>21</v>
      </c>
      <c r="D884" s="1" t="s">
        <v>5</v>
      </c>
      <c r="E884" s="1">
        <v>1</v>
      </c>
      <c r="F884" s="58">
        <v>3000</v>
      </c>
      <c r="G884" s="58">
        <v>3000</v>
      </c>
    </row>
    <row r="885" spans="1:7" x14ac:dyDescent="0.25">
      <c r="A885" s="1">
        <v>393</v>
      </c>
      <c r="B885" s="1">
        <v>2</v>
      </c>
      <c r="C885" s="1" t="s">
        <v>25</v>
      </c>
      <c r="D885" s="1" t="s">
        <v>12</v>
      </c>
      <c r="E885" s="1">
        <v>1</v>
      </c>
      <c r="F885" s="58">
        <v>12000</v>
      </c>
      <c r="G885" s="58">
        <v>12000</v>
      </c>
    </row>
    <row r="886" spans="1:7" x14ac:dyDescent="0.25">
      <c r="A886" s="1">
        <v>396</v>
      </c>
      <c r="B886" s="1">
        <v>1</v>
      </c>
      <c r="C886" s="1" t="s">
        <v>10</v>
      </c>
      <c r="D886" s="1" t="s">
        <v>15</v>
      </c>
      <c r="E886" s="1">
        <v>1</v>
      </c>
      <c r="F886" s="58">
        <v>10000</v>
      </c>
      <c r="G886" s="58">
        <v>10000</v>
      </c>
    </row>
    <row r="887" spans="1:7" x14ac:dyDescent="0.25">
      <c r="A887" s="1">
        <v>396</v>
      </c>
      <c r="B887" s="1">
        <v>2</v>
      </c>
      <c r="C887" s="1" t="s">
        <v>130</v>
      </c>
      <c r="D887" s="1" t="s">
        <v>132</v>
      </c>
      <c r="E887" s="1">
        <v>1</v>
      </c>
      <c r="F887" s="58">
        <v>12000</v>
      </c>
      <c r="G887" s="58">
        <v>12000</v>
      </c>
    </row>
    <row r="888" spans="1:7" x14ac:dyDescent="0.25">
      <c r="A888" s="1">
        <v>398</v>
      </c>
      <c r="B888" s="1">
        <v>1</v>
      </c>
      <c r="C888" s="1" t="s">
        <v>28</v>
      </c>
      <c r="D888" s="1" t="s">
        <v>107</v>
      </c>
      <c r="E888" s="1">
        <v>2</v>
      </c>
      <c r="F888" s="58">
        <v>6000</v>
      </c>
      <c r="G888" s="58">
        <v>12000</v>
      </c>
    </row>
    <row r="889" spans="1:7" x14ac:dyDescent="0.25">
      <c r="A889" s="1">
        <v>399</v>
      </c>
      <c r="B889" s="1">
        <v>1</v>
      </c>
      <c r="C889" s="1" t="s">
        <v>28</v>
      </c>
      <c r="D889" s="1" t="s">
        <v>107</v>
      </c>
      <c r="E889" s="1">
        <v>2</v>
      </c>
      <c r="F889" s="58">
        <v>6000</v>
      </c>
      <c r="G889" s="58">
        <v>12000</v>
      </c>
    </row>
    <row r="890" spans="1:7" x14ac:dyDescent="0.25">
      <c r="A890" s="1">
        <v>401</v>
      </c>
      <c r="B890" s="1">
        <v>1</v>
      </c>
      <c r="C890" s="1" t="s">
        <v>28</v>
      </c>
      <c r="D890" s="1" t="s">
        <v>107</v>
      </c>
      <c r="E890" s="1">
        <v>3</v>
      </c>
      <c r="F890" s="58">
        <v>6000</v>
      </c>
      <c r="G890" s="58">
        <v>18000</v>
      </c>
    </row>
    <row r="891" spans="1:7" x14ac:dyDescent="0.25">
      <c r="A891" s="1">
        <v>402</v>
      </c>
      <c r="B891" s="1">
        <v>1</v>
      </c>
      <c r="C891" s="1" t="s">
        <v>631</v>
      </c>
      <c r="D891" s="1" t="s">
        <v>632</v>
      </c>
      <c r="E891" s="1">
        <v>2</v>
      </c>
      <c r="F891" s="58">
        <v>13000</v>
      </c>
      <c r="G891" s="58">
        <v>26000</v>
      </c>
    </row>
    <row r="892" spans="1:7" x14ac:dyDescent="0.25">
      <c r="A892" s="1">
        <v>400</v>
      </c>
      <c r="B892" s="1">
        <v>1</v>
      </c>
      <c r="C892" s="1" t="s">
        <v>110</v>
      </c>
      <c r="D892" s="1" t="s">
        <v>115</v>
      </c>
      <c r="E892" s="1">
        <v>1</v>
      </c>
      <c r="F892" s="58">
        <v>6000</v>
      </c>
      <c r="G892" s="58">
        <v>6000</v>
      </c>
    </row>
    <row r="893" spans="1:7" x14ac:dyDescent="0.25">
      <c r="A893" s="1">
        <v>400</v>
      </c>
      <c r="B893" s="1">
        <v>2</v>
      </c>
      <c r="C893" s="1" t="s">
        <v>28</v>
      </c>
      <c r="D893" s="1" t="s">
        <v>107</v>
      </c>
      <c r="E893" s="1">
        <v>3</v>
      </c>
      <c r="F893" s="58">
        <v>6000</v>
      </c>
      <c r="G893" s="58">
        <v>18000</v>
      </c>
    </row>
    <row r="894" spans="1:7" x14ac:dyDescent="0.25">
      <c r="A894" s="1">
        <v>400</v>
      </c>
      <c r="B894" s="1">
        <v>3</v>
      </c>
      <c r="C894" s="1" t="s">
        <v>21</v>
      </c>
      <c r="D894" s="1" t="s">
        <v>5</v>
      </c>
      <c r="E894" s="1">
        <v>2</v>
      </c>
      <c r="F894" s="58">
        <v>3000</v>
      </c>
      <c r="G894" s="58">
        <v>6000</v>
      </c>
    </row>
    <row r="895" spans="1:7" x14ac:dyDescent="0.25">
      <c r="A895" s="1">
        <v>400</v>
      </c>
      <c r="B895" s="1">
        <v>4</v>
      </c>
      <c r="C895" s="1" t="s">
        <v>65</v>
      </c>
      <c r="D895" s="1" t="s">
        <v>16</v>
      </c>
      <c r="E895" s="1">
        <v>2</v>
      </c>
      <c r="F895" s="58">
        <v>10000</v>
      </c>
      <c r="G895" s="58">
        <v>20000</v>
      </c>
    </row>
    <row r="896" spans="1:7" x14ac:dyDescent="0.25">
      <c r="A896" s="1">
        <v>400</v>
      </c>
      <c r="B896" s="1">
        <v>5</v>
      </c>
      <c r="C896" s="1" t="s">
        <v>130</v>
      </c>
      <c r="D896" s="1" t="s">
        <v>132</v>
      </c>
      <c r="E896" s="1">
        <v>1</v>
      </c>
      <c r="F896" s="58">
        <v>12000</v>
      </c>
      <c r="G896" s="58">
        <v>12000</v>
      </c>
    </row>
    <row r="897" spans="1:7" x14ac:dyDescent="0.25">
      <c r="A897" s="1">
        <v>385</v>
      </c>
      <c r="B897" s="1">
        <v>1</v>
      </c>
      <c r="C897" s="1" t="s">
        <v>21</v>
      </c>
      <c r="D897" s="1" t="s">
        <v>5</v>
      </c>
      <c r="E897" s="1">
        <v>5</v>
      </c>
      <c r="F897" s="58">
        <v>3000</v>
      </c>
      <c r="G897" s="58">
        <v>15000</v>
      </c>
    </row>
    <row r="898" spans="1:7" x14ac:dyDescent="0.25">
      <c r="A898" s="1">
        <v>385</v>
      </c>
      <c r="B898" s="1">
        <v>2</v>
      </c>
      <c r="C898" s="1" t="s">
        <v>28</v>
      </c>
      <c r="D898" s="1" t="s">
        <v>107</v>
      </c>
      <c r="E898" s="1">
        <v>1</v>
      </c>
      <c r="F898" s="58">
        <v>6000</v>
      </c>
      <c r="G898" s="58">
        <v>6000</v>
      </c>
    </row>
    <row r="899" spans="1:7" x14ac:dyDescent="0.25">
      <c r="A899" s="1">
        <v>385</v>
      </c>
      <c r="B899" s="1">
        <v>3</v>
      </c>
      <c r="C899" s="1" t="s">
        <v>130</v>
      </c>
      <c r="D899" s="1" t="s">
        <v>132</v>
      </c>
      <c r="E899" s="1">
        <v>1</v>
      </c>
      <c r="F899" s="58">
        <v>12000</v>
      </c>
      <c r="G899" s="58">
        <v>12000</v>
      </c>
    </row>
    <row r="900" spans="1:7" x14ac:dyDescent="0.25">
      <c r="A900" s="1">
        <v>405</v>
      </c>
      <c r="B900" s="1">
        <v>1</v>
      </c>
      <c r="C900" s="1" t="s">
        <v>28</v>
      </c>
      <c r="D900" s="1" t="s">
        <v>107</v>
      </c>
      <c r="E900" s="1">
        <v>1</v>
      </c>
      <c r="F900" s="58">
        <v>6000</v>
      </c>
      <c r="G900" s="58">
        <v>6000</v>
      </c>
    </row>
    <row r="901" spans="1:7" x14ac:dyDescent="0.25">
      <c r="A901" s="1">
        <v>404</v>
      </c>
      <c r="B901" s="1">
        <v>1</v>
      </c>
      <c r="C901" s="1" t="s">
        <v>24</v>
      </c>
      <c r="D901" s="1" t="s">
        <v>105</v>
      </c>
      <c r="E901" s="1">
        <v>2</v>
      </c>
      <c r="F901" s="58">
        <v>7000</v>
      </c>
      <c r="G901" s="58">
        <v>14000</v>
      </c>
    </row>
    <row r="902" spans="1:7" x14ac:dyDescent="0.25">
      <c r="A902" s="1">
        <v>404</v>
      </c>
      <c r="B902" s="1">
        <v>2</v>
      </c>
      <c r="C902" s="1" t="s">
        <v>22</v>
      </c>
      <c r="D902" s="1" t="s">
        <v>104</v>
      </c>
      <c r="E902" s="1">
        <v>1</v>
      </c>
      <c r="F902" s="58">
        <v>7000</v>
      </c>
      <c r="G902" s="58">
        <v>7000</v>
      </c>
    </row>
    <row r="903" spans="1:7" x14ac:dyDescent="0.25">
      <c r="A903" s="1">
        <v>403</v>
      </c>
      <c r="B903" s="1">
        <v>1</v>
      </c>
      <c r="C903" s="1" t="s">
        <v>130</v>
      </c>
      <c r="D903" s="1" t="s">
        <v>132</v>
      </c>
      <c r="E903" s="1">
        <v>2</v>
      </c>
      <c r="F903" s="58">
        <v>12000</v>
      </c>
      <c r="G903" s="58">
        <v>24000</v>
      </c>
    </row>
    <row r="904" spans="1:7" x14ac:dyDescent="0.25">
      <c r="A904" s="1">
        <v>403</v>
      </c>
      <c r="B904" s="1">
        <v>2</v>
      </c>
      <c r="C904" s="1" t="s">
        <v>10</v>
      </c>
      <c r="D904" s="1" t="s">
        <v>15</v>
      </c>
      <c r="E904" s="1">
        <v>2</v>
      </c>
      <c r="F904" s="58">
        <v>10000</v>
      </c>
      <c r="G904" s="58">
        <v>20000</v>
      </c>
    </row>
    <row r="905" spans="1:7" x14ac:dyDescent="0.25">
      <c r="A905" s="1">
        <v>403</v>
      </c>
      <c r="B905" s="1">
        <v>3</v>
      </c>
      <c r="C905" s="1" t="s">
        <v>110</v>
      </c>
      <c r="D905" s="1" t="s">
        <v>115</v>
      </c>
      <c r="E905" s="1">
        <v>1</v>
      </c>
      <c r="F905" s="58">
        <v>6000</v>
      </c>
      <c r="G905" s="58">
        <v>6000</v>
      </c>
    </row>
    <row r="906" spans="1:7" x14ac:dyDescent="0.25">
      <c r="A906" s="1">
        <v>403</v>
      </c>
      <c r="B906" s="1">
        <v>4</v>
      </c>
      <c r="C906" s="1" t="s">
        <v>302</v>
      </c>
      <c r="D906" s="1" t="s">
        <v>161</v>
      </c>
      <c r="E906" s="1">
        <v>1</v>
      </c>
      <c r="F906" s="58">
        <v>1200</v>
      </c>
      <c r="G906" s="58">
        <v>1200</v>
      </c>
    </row>
    <row r="907" spans="1:7" x14ac:dyDescent="0.25">
      <c r="A907" s="1">
        <v>406</v>
      </c>
      <c r="B907" s="1">
        <v>1</v>
      </c>
      <c r="C907" s="1" t="s">
        <v>24</v>
      </c>
      <c r="D907" s="1" t="s">
        <v>105</v>
      </c>
      <c r="E907" s="1">
        <v>2</v>
      </c>
      <c r="F907" s="58">
        <v>7000</v>
      </c>
      <c r="G907" s="58">
        <v>14000</v>
      </c>
    </row>
    <row r="908" spans="1:7" x14ac:dyDescent="0.25">
      <c r="A908" s="1">
        <v>406</v>
      </c>
      <c r="B908" s="1">
        <v>2</v>
      </c>
      <c r="C908" s="1" t="s">
        <v>28</v>
      </c>
      <c r="D908" s="1" t="s">
        <v>107</v>
      </c>
      <c r="E908" s="1">
        <v>1</v>
      </c>
      <c r="F908" s="58">
        <v>6000</v>
      </c>
      <c r="G908" s="58">
        <v>6000</v>
      </c>
    </row>
    <row r="909" spans="1:7" x14ac:dyDescent="0.25">
      <c r="A909" s="1">
        <v>409</v>
      </c>
      <c r="B909" s="1">
        <v>1</v>
      </c>
      <c r="C909" s="1" t="s">
        <v>110</v>
      </c>
      <c r="D909" s="1" t="s">
        <v>115</v>
      </c>
      <c r="E909" s="1">
        <v>1</v>
      </c>
      <c r="F909" s="58">
        <v>6000</v>
      </c>
      <c r="G909" s="58">
        <v>6000</v>
      </c>
    </row>
    <row r="910" spans="1:7" x14ac:dyDescent="0.25">
      <c r="A910" s="1">
        <v>410</v>
      </c>
      <c r="B910" s="1">
        <v>1</v>
      </c>
      <c r="C910" s="1" t="s">
        <v>164</v>
      </c>
      <c r="D910" s="1" t="s">
        <v>165</v>
      </c>
      <c r="E910" s="1">
        <v>1</v>
      </c>
      <c r="F910" s="58">
        <v>4000</v>
      </c>
      <c r="G910" s="58">
        <v>4000</v>
      </c>
    </row>
    <row r="911" spans="1:7" x14ac:dyDescent="0.25">
      <c r="A911" s="1">
        <v>411</v>
      </c>
      <c r="B911" s="1">
        <v>1</v>
      </c>
      <c r="C911" s="1" t="s">
        <v>21</v>
      </c>
      <c r="D911" s="1" t="s">
        <v>5</v>
      </c>
      <c r="E911" s="1">
        <v>1</v>
      </c>
      <c r="F911" s="58">
        <v>3000</v>
      </c>
      <c r="G911" s="58">
        <v>3000</v>
      </c>
    </row>
    <row r="912" spans="1:7" x14ac:dyDescent="0.25">
      <c r="A912" s="1">
        <v>407</v>
      </c>
      <c r="B912" s="1">
        <v>1</v>
      </c>
      <c r="C912" s="1" t="s">
        <v>110</v>
      </c>
      <c r="D912" s="1" t="s">
        <v>115</v>
      </c>
      <c r="E912" s="1">
        <v>1</v>
      </c>
      <c r="F912" s="58">
        <v>6000</v>
      </c>
      <c r="G912" s="58">
        <v>6000</v>
      </c>
    </row>
    <row r="913" spans="1:7" x14ac:dyDescent="0.25">
      <c r="A913" s="1">
        <v>407</v>
      </c>
      <c r="B913" s="1">
        <v>2</v>
      </c>
      <c r="C913" s="1" t="s">
        <v>65</v>
      </c>
      <c r="D913" s="1" t="s">
        <v>16</v>
      </c>
      <c r="E913" s="1">
        <v>2</v>
      </c>
      <c r="F913" s="58">
        <v>10000</v>
      </c>
      <c r="G913" s="58">
        <v>20000</v>
      </c>
    </row>
    <row r="914" spans="1:7" x14ac:dyDescent="0.25">
      <c r="A914" s="1">
        <v>407</v>
      </c>
      <c r="B914" s="1">
        <v>3</v>
      </c>
      <c r="C914" s="1" t="s">
        <v>127</v>
      </c>
      <c r="D914" s="1" t="s">
        <v>128</v>
      </c>
      <c r="E914" s="1">
        <v>1</v>
      </c>
      <c r="F914" s="58">
        <v>4000</v>
      </c>
      <c r="G914" s="58">
        <v>4000</v>
      </c>
    </row>
    <row r="915" spans="1:7" ht="30" x14ac:dyDescent="0.25">
      <c r="A915" s="1">
        <v>412</v>
      </c>
      <c r="B915" s="1">
        <v>1</v>
      </c>
      <c r="C915" s="1" t="s">
        <v>113</v>
      </c>
      <c r="D915" s="1" t="s">
        <v>171</v>
      </c>
      <c r="E915" s="1">
        <v>1</v>
      </c>
      <c r="F915" s="58">
        <v>6000</v>
      </c>
      <c r="G915" s="58">
        <v>6000</v>
      </c>
    </row>
    <row r="916" spans="1:7" x14ac:dyDescent="0.25">
      <c r="A916" s="1">
        <v>412</v>
      </c>
      <c r="B916" s="1">
        <v>2</v>
      </c>
      <c r="C916" s="1" t="s">
        <v>23</v>
      </c>
      <c r="D916" s="1" t="s">
        <v>13</v>
      </c>
      <c r="E916" s="1">
        <v>1</v>
      </c>
      <c r="F916" s="58">
        <v>9000</v>
      </c>
      <c r="G916" s="58">
        <v>9000</v>
      </c>
    </row>
    <row r="917" spans="1:7" x14ac:dyDescent="0.25">
      <c r="A917" s="1">
        <v>413</v>
      </c>
      <c r="B917" s="1">
        <v>1</v>
      </c>
      <c r="C917" s="1" t="s">
        <v>24</v>
      </c>
      <c r="D917" s="1" t="s">
        <v>105</v>
      </c>
      <c r="E917" s="1">
        <v>1</v>
      </c>
      <c r="F917" s="58">
        <v>7000</v>
      </c>
      <c r="G917" s="58">
        <v>7000</v>
      </c>
    </row>
    <row r="918" spans="1:7" x14ac:dyDescent="0.25">
      <c r="A918" s="1">
        <v>414</v>
      </c>
      <c r="B918" s="1">
        <v>1</v>
      </c>
      <c r="C918" s="1" t="s">
        <v>112</v>
      </c>
      <c r="D918" s="1" t="s">
        <v>114</v>
      </c>
      <c r="E918" s="1">
        <v>1</v>
      </c>
      <c r="F918" s="58">
        <v>6000</v>
      </c>
      <c r="G918" s="58">
        <v>6000</v>
      </c>
    </row>
    <row r="919" spans="1:7" x14ac:dyDescent="0.25">
      <c r="A919" s="1">
        <v>414</v>
      </c>
      <c r="B919" s="1">
        <v>2</v>
      </c>
      <c r="C919" s="1" t="s">
        <v>190</v>
      </c>
      <c r="D919" s="1" t="s">
        <v>184</v>
      </c>
      <c r="E919" s="1">
        <v>1</v>
      </c>
      <c r="F919" s="58">
        <v>6000</v>
      </c>
      <c r="G919" s="58">
        <v>6000</v>
      </c>
    </row>
    <row r="920" spans="1:7" x14ac:dyDescent="0.25">
      <c r="A920" s="1">
        <v>415</v>
      </c>
      <c r="B920" s="1">
        <v>1</v>
      </c>
      <c r="C920" s="1" t="s">
        <v>10</v>
      </c>
      <c r="D920" s="1" t="s">
        <v>15</v>
      </c>
      <c r="E920" s="1">
        <v>1</v>
      </c>
      <c r="F920" s="58">
        <v>10000</v>
      </c>
      <c r="G920" s="58">
        <v>10000</v>
      </c>
    </row>
    <row r="921" spans="1:7" x14ac:dyDescent="0.25">
      <c r="A921" s="1">
        <v>415</v>
      </c>
      <c r="B921" s="1">
        <v>2</v>
      </c>
      <c r="C921" s="1" t="s">
        <v>164</v>
      </c>
      <c r="D921" s="1" t="s">
        <v>165</v>
      </c>
      <c r="E921" s="1">
        <v>1</v>
      </c>
      <c r="F921" s="58">
        <v>4000</v>
      </c>
      <c r="G921" s="58">
        <v>4000</v>
      </c>
    </row>
    <row r="922" spans="1:7" x14ac:dyDescent="0.25">
      <c r="A922" s="1">
        <v>416</v>
      </c>
      <c r="B922" s="1">
        <v>1</v>
      </c>
      <c r="C922" s="1" t="s">
        <v>32</v>
      </c>
      <c r="D922" s="1" t="s">
        <v>9</v>
      </c>
      <c r="E922" s="1">
        <v>3</v>
      </c>
      <c r="F922" s="58">
        <v>9000</v>
      </c>
      <c r="G922" s="58">
        <v>27000</v>
      </c>
    </row>
    <row r="923" spans="1:7" x14ac:dyDescent="0.25">
      <c r="A923" s="1">
        <v>418</v>
      </c>
      <c r="B923" s="1">
        <v>1</v>
      </c>
      <c r="C923" s="1" t="s">
        <v>24</v>
      </c>
      <c r="D923" s="1" t="s">
        <v>105</v>
      </c>
      <c r="E923" s="1">
        <v>1</v>
      </c>
      <c r="F923" s="58">
        <v>7000</v>
      </c>
      <c r="G923" s="58">
        <v>7000</v>
      </c>
    </row>
    <row r="924" spans="1:7" x14ac:dyDescent="0.25">
      <c r="A924" s="1">
        <v>418</v>
      </c>
      <c r="B924" s="1">
        <v>2</v>
      </c>
      <c r="C924" s="1" t="s">
        <v>10</v>
      </c>
      <c r="D924" s="1" t="s">
        <v>15</v>
      </c>
      <c r="E924" s="1">
        <v>1</v>
      </c>
      <c r="F924" s="58">
        <v>10000</v>
      </c>
      <c r="G924" s="58">
        <v>10000</v>
      </c>
    </row>
    <row r="925" spans="1:7" x14ac:dyDescent="0.25">
      <c r="A925" s="1">
        <v>418</v>
      </c>
      <c r="B925" s="1">
        <v>3</v>
      </c>
      <c r="C925" s="1" t="s">
        <v>23</v>
      </c>
      <c r="D925" s="1" t="s">
        <v>13</v>
      </c>
      <c r="E925" s="1">
        <v>1</v>
      </c>
      <c r="F925" s="58">
        <v>9000</v>
      </c>
      <c r="G925" s="58">
        <v>9000</v>
      </c>
    </row>
    <row r="926" spans="1:7" x14ac:dyDescent="0.25">
      <c r="A926" s="1">
        <v>417</v>
      </c>
      <c r="B926" s="1">
        <v>1</v>
      </c>
      <c r="C926" s="1" t="s">
        <v>65</v>
      </c>
      <c r="D926" s="1" t="s">
        <v>16</v>
      </c>
      <c r="E926" s="1">
        <v>1</v>
      </c>
      <c r="F926" s="58">
        <v>10000</v>
      </c>
      <c r="G926" s="58">
        <v>10000</v>
      </c>
    </row>
    <row r="927" spans="1:7" x14ac:dyDescent="0.25">
      <c r="A927" s="1">
        <v>417</v>
      </c>
      <c r="B927" s="1">
        <v>2</v>
      </c>
      <c r="C927" s="1" t="s">
        <v>302</v>
      </c>
      <c r="D927" s="1" t="s">
        <v>161</v>
      </c>
      <c r="E927" s="1">
        <v>2</v>
      </c>
      <c r="F927" s="58">
        <v>1200</v>
      </c>
      <c r="G927" s="58">
        <v>2400</v>
      </c>
    </row>
    <row r="928" spans="1:7" x14ac:dyDescent="0.25">
      <c r="A928" s="1">
        <v>417</v>
      </c>
      <c r="B928" s="1">
        <v>3</v>
      </c>
      <c r="C928" s="1" t="s">
        <v>21</v>
      </c>
      <c r="D928" s="1" t="s">
        <v>5</v>
      </c>
      <c r="E928" s="1">
        <v>1</v>
      </c>
      <c r="F928" s="58">
        <v>3000</v>
      </c>
      <c r="G928" s="58">
        <v>3000</v>
      </c>
    </row>
    <row r="929" spans="1:7" x14ac:dyDescent="0.25">
      <c r="A929" s="1">
        <v>408</v>
      </c>
      <c r="B929" s="1">
        <v>1</v>
      </c>
      <c r="C929" s="1" t="s">
        <v>24</v>
      </c>
      <c r="D929" s="1" t="s">
        <v>105</v>
      </c>
      <c r="E929" s="1">
        <v>1</v>
      </c>
      <c r="F929" s="58">
        <v>7000</v>
      </c>
      <c r="G929" s="58">
        <v>7000</v>
      </c>
    </row>
    <row r="930" spans="1:7" x14ac:dyDescent="0.25">
      <c r="A930" s="1">
        <v>408</v>
      </c>
      <c r="B930" s="1">
        <v>2</v>
      </c>
      <c r="C930" s="1" t="s">
        <v>28</v>
      </c>
      <c r="D930" s="1" t="s">
        <v>107</v>
      </c>
      <c r="E930" s="1">
        <v>1</v>
      </c>
      <c r="F930" s="58">
        <v>6000</v>
      </c>
      <c r="G930" s="58">
        <v>6000</v>
      </c>
    </row>
    <row r="931" spans="1:7" x14ac:dyDescent="0.25">
      <c r="A931" s="1">
        <v>420</v>
      </c>
      <c r="B931" s="1">
        <v>1</v>
      </c>
      <c r="C931" s="1" t="s">
        <v>112</v>
      </c>
      <c r="D931" s="1" t="s">
        <v>114</v>
      </c>
      <c r="E931" s="1">
        <v>2</v>
      </c>
      <c r="F931" s="58">
        <v>6000</v>
      </c>
      <c r="G931" s="58">
        <v>12000</v>
      </c>
    </row>
    <row r="932" spans="1:7" ht="30" x14ac:dyDescent="0.25">
      <c r="A932" s="1">
        <v>420</v>
      </c>
      <c r="B932" s="1">
        <v>2</v>
      </c>
      <c r="C932" s="1" t="s">
        <v>113</v>
      </c>
      <c r="D932" s="1" t="s">
        <v>171</v>
      </c>
      <c r="E932" s="1">
        <v>1</v>
      </c>
      <c r="F932" s="58">
        <v>6000</v>
      </c>
      <c r="G932" s="58">
        <v>6000</v>
      </c>
    </row>
    <row r="933" spans="1:7" x14ac:dyDescent="0.25">
      <c r="A933" s="1">
        <v>422</v>
      </c>
      <c r="B933" s="1">
        <v>1</v>
      </c>
      <c r="C933" s="1" t="s">
        <v>127</v>
      </c>
      <c r="D933" s="1" t="s">
        <v>128</v>
      </c>
      <c r="E933" s="1">
        <v>1</v>
      </c>
      <c r="F933" s="58">
        <v>4000</v>
      </c>
      <c r="G933" s="58">
        <v>4000</v>
      </c>
    </row>
    <row r="934" spans="1:7" x14ac:dyDescent="0.25">
      <c r="A934" s="1">
        <v>421</v>
      </c>
      <c r="B934" s="1">
        <v>1</v>
      </c>
      <c r="C934" s="1" t="s">
        <v>182</v>
      </c>
      <c r="D934" s="1" t="s">
        <v>183</v>
      </c>
      <c r="E934" s="1">
        <v>1</v>
      </c>
      <c r="F934" s="58">
        <v>9000</v>
      </c>
      <c r="G934" s="58">
        <v>9000</v>
      </c>
    </row>
    <row r="935" spans="1:7" x14ac:dyDescent="0.25">
      <c r="A935" s="1">
        <v>421</v>
      </c>
      <c r="B935" s="1">
        <v>2</v>
      </c>
      <c r="C935" s="1" t="s">
        <v>127</v>
      </c>
      <c r="D935" s="1" t="s">
        <v>128</v>
      </c>
      <c r="E935" s="1">
        <v>1</v>
      </c>
      <c r="F935" s="58">
        <v>4000</v>
      </c>
      <c r="G935" s="58">
        <v>4000</v>
      </c>
    </row>
    <row r="936" spans="1:7" x14ac:dyDescent="0.25">
      <c r="A936" s="1">
        <v>423</v>
      </c>
      <c r="B936" s="1">
        <v>1</v>
      </c>
      <c r="C936" s="1" t="s">
        <v>127</v>
      </c>
      <c r="D936" s="1" t="s">
        <v>128</v>
      </c>
      <c r="E936" s="1">
        <v>2</v>
      </c>
      <c r="F936" s="58">
        <v>4000</v>
      </c>
      <c r="G936" s="58">
        <v>8000</v>
      </c>
    </row>
    <row r="937" spans="1:7" x14ac:dyDescent="0.25">
      <c r="A937" s="1">
        <v>423</v>
      </c>
      <c r="B937" s="1">
        <v>2</v>
      </c>
      <c r="C937" s="1" t="s">
        <v>21</v>
      </c>
      <c r="D937" s="1" t="s">
        <v>5</v>
      </c>
      <c r="E937" s="1">
        <v>1</v>
      </c>
      <c r="F937" s="58">
        <v>3000</v>
      </c>
      <c r="G937" s="58">
        <v>3000</v>
      </c>
    </row>
    <row r="938" spans="1:7" x14ac:dyDescent="0.25">
      <c r="A938" s="1">
        <v>425</v>
      </c>
      <c r="B938" s="1">
        <v>1</v>
      </c>
      <c r="C938" s="1" t="s">
        <v>10</v>
      </c>
      <c r="D938" s="1" t="s">
        <v>15</v>
      </c>
      <c r="E938" s="1">
        <v>1</v>
      </c>
      <c r="F938" s="58">
        <v>10000</v>
      </c>
      <c r="G938" s="58">
        <v>10000</v>
      </c>
    </row>
    <row r="939" spans="1:7" x14ac:dyDescent="0.25">
      <c r="A939" s="1">
        <v>426</v>
      </c>
      <c r="B939" s="1">
        <v>1</v>
      </c>
      <c r="C939" s="1" t="s">
        <v>21</v>
      </c>
      <c r="D939" s="1" t="s">
        <v>5</v>
      </c>
      <c r="E939" s="1">
        <v>2</v>
      </c>
      <c r="F939" s="58">
        <v>3000</v>
      </c>
      <c r="G939" s="58">
        <v>6000</v>
      </c>
    </row>
    <row r="940" spans="1:7" x14ac:dyDescent="0.25">
      <c r="A940" s="1">
        <v>428</v>
      </c>
      <c r="B940" s="1">
        <v>1</v>
      </c>
      <c r="C940" s="1" t="s">
        <v>10</v>
      </c>
      <c r="D940" s="1" t="s">
        <v>15</v>
      </c>
      <c r="E940" s="1">
        <v>1</v>
      </c>
      <c r="F940" s="58">
        <v>10000</v>
      </c>
      <c r="G940" s="58">
        <v>10000</v>
      </c>
    </row>
    <row r="941" spans="1:7" x14ac:dyDescent="0.25">
      <c r="A941" s="1">
        <v>424</v>
      </c>
      <c r="B941" s="1">
        <v>1</v>
      </c>
      <c r="C941" s="1" t="s">
        <v>10</v>
      </c>
      <c r="D941" s="1" t="s">
        <v>15</v>
      </c>
      <c r="E941" s="1">
        <v>1</v>
      </c>
      <c r="F941" s="58">
        <v>10000</v>
      </c>
      <c r="G941" s="58">
        <v>10000</v>
      </c>
    </row>
    <row r="942" spans="1:7" ht="30" x14ac:dyDescent="0.25">
      <c r="A942" s="1">
        <v>424</v>
      </c>
      <c r="B942" s="1">
        <v>2</v>
      </c>
      <c r="C942" s="1" t="s">
        <v>113</v>
      </c>
      <c r="D942" s="1" t="s">
        <v>171</v>
      </c>
      <c r="E942" s="1">
        <v>1</v>
      </c>
      <c r="F942" s="58">
        <v>6000</v>
      </c>
      <c r="G942" s="58">
        <v>6000</v>
      </c>
    </row>
    <row r="943" spans="1:7" x14ac:dyDescent="0.25">
      <c r="A943" s="1">
        <v>424</v>
      </c>
      <c r="B943" s="1">
        <v>3</v>
      </c>
      <c r="C943" s="1" t="s">
        <v>301</v>
      </c>
      <c r="D943" s="1" t="s">
        <v>191</v>
      </c>
      <c r="E943" s="1">
        <v>1</v>
      </c>
      <c r="F943" s="58">
        <v>3000</v>
      </c>
      <c r="G943" s="58">
        <v>3000</v>
      </c>
    </row>
    <row r="944" spans="1:7" x14ac:dyDescent="0.25">
      <c r="A944" s="1">
        <v>429</v>
      </c>
      <c r="B944" s="1">
        <v>1</v>
      </c>
      <c r="C944" s="1" t="s">
        <v>65</v>
      </c>
      <c r="D944" s="1" t="s">
        <v>16</v>
      </c>
      <c r="E944" s="1">
        <v>1</v>
      </c>
      <c r="F944" s="58">
        <v>10000</v>
      </c>
      <c r="G944" s="58">
        <v>10000</v>
      </c>
    </row>
    <row r="945" spans="1:7" x14ac:dyDescent="0.25">
      <c r="A945" s="1">
        <v>427</v>
      </c>
      <c r="B945" s="1">
        <v>1</v>
      </c>
      <c r="C945" s="1" t="s">
        <v>10</v>
      </c>
      <c r="D945" s="1" t="s">
        <v>15</v>
      </c>
      <c r="E945" s="1">
        <v>2</v>
      </c>
      <c r="F945" s="58">
        <v>10000</v>
      </c>
      <c r="G945" s="58">
        <v>20000</v>
      </c>
    </row>
    <row r="946" spans="1:7" x14ac:dyDescent="0.25">
      <c r="A946" s="1">
        <v>427</v>
      </c>
      <c r="B946" s="1">
        <v>2</v>
      </c>
      <c r="C946" s="1" t="s">
        <v>517</v>
      </c>
      <c r="D946" s="1" t="s">
        <v>518</v>
      </c>
      <c r="E946" s="1">
        <v>1</v>
      </c>
      <c r="F946" s="58">
        <v>7000</v>
      </c>
      <c r="G946" s="58">
        <v>7000</v>
      </c>
    </row>
    <row r="947" spans="1:7" x14ac:dyDescent="0.25">
      <c r="A947" s="1">
        <v>430</v>
      </c>
      <c r="B947" s="1">
        <v>1</v>
      </c>
      <c r="C947" s="1" t="s">
        <v>27</v>
      </c>
      <c r="D947" s="1" t="s">
        <v>106</v>
      </c>
      <c r="E947" s="1">
        <v>1</v>
      </c>
      <c r="F947" s="58">
        <v>7000</v>
      </c>
      <c r="G947" s="58">
        <v>7000</v>
      </c>
    </row>
    <row r="948" spans="1:7" x14ac:dyDescent="0.25">
      <c r="A948" s="1">
        <v>419</v>
      </c>
      <c r="B948" s="1">
        <v>1</v>
      </c>
      <c r="C948" s="1" t="s">
        <v>21</v>
      </c>
      <c r="D948" s="1" t="s">
        <v>5</v>
      </c>
      <c r="E948" s="1">
        <v>1</v>
      </c>
      <c r="F948" s="58">
        <v>3000</v>
      </c>
      <c r="G948" s="58">
        <v>3000</v>
      </c>
    </row>
    <row r="949" spans="1:7" x14ac:dyDescent="0.25">
      <c r="A949" s="1">
        <v>431</v>
      </c>
      <c r="B949" s="1">
        <v>1</v>
      </c>
      <c r="C949" s="1" t="s">
        <v>21</v>
      </c>
      <c r="D949" s="1" t="s">
        <v>5</v>
      </c>
      <c r="E949" s="1">
        <v>1</v>
      </c>
      <c r="F949" s="58">
        <v>3000</v>
      </c>
      <c r="G949" s="58">
        <v>3000</v>
      </c>
    </row>
    <row r="950" spans="1:7" x14ac:dyDescent="0.25">
      <c r="A950" s="1">
        <v>433</v>
      </c>
      <c r="B950" s="1">
        <v>1</v>
      </c>
      <c r="C950" s="1" t="s">
        <v>21</v>
      </c>
      <c r="D950" s="1" t="s">
        <v>5</v>
      </c>
      <c r="E950" s="1">
        <v>12</v>
      </c>
      <c r="F950" s="58">
        <v>3000</v>
      </c>
      <c r="G950" s="58">
        <v>36000</v>
      </c>
    </row>
    <row r="951" spans="1:7" x14ac:dyDescent="0.25">
      <c r="A951" s="1">
        <v>433</v>
      </c>
      <c r="B951" s="1">
        <v>2</v>
      </c>
      <c r="C951" s="1" t="s">
        <v>158</v>
      </c>
      <c r="D951" s="1" t="s">
        <v>159</v>
      </c>
      <c r="E951" s="1">
        <v>1</v>
      </c>
      <c r="F951" s="58">
        <v>1400</v>
      </c>
      <c r="G951" s="58">
        <v>1400</v>
      </c>
    </row>
    <row r="952" spans="1:7" x14ac:dyDescent="0.25">
      <c r="A952" s="1">
        <v>435</v>
      </c>
      <c r="B952" s="1">
        <v>1</v>
      </c>
      <c r="C952" s="1" t="s">
        <v>10</v>
      </c>
      <c r="D952" s="1" t="s">
        <v>15</v>
      </c>
      <c r="E952" s="1">
        <v>1</v>
      </c>
      <c r="F952" s="58">
        <v>10000</v>
      </c>
      <c r="G952" s="58">
        <v>10000</v>
      </c>
    </row>
    <row r="953" spans="1:7" x14ac:dyDescent="0.25">
      <c r="A953" s="1">
        <v>435</v>
      </c>
      <c r="B953" s="1">
        <v>2</v>
      </c>
      <c r="C953" s="1" t="s">
        <v>182</v>
      </c>
      <c r="D953" s="1" t="s">
        <v>183</v>
      </c>
      <c r="E953" s="1">
        <v>1</v>
      </c>
      <c r="F953" s="58">
        <v>9000</v>
      </c>
      <c r="G953" s="58">
        <v>9000</v>
      </c>
    </row>
    <row r="954" spans="1:7" x14ac:dyDescent="0.25">
      <c r="A954" s="1">
        <v>434</v>
      </c>
      <c r="B954" s="1">
        <v>1</v>
      </c>
      <c r="C954" s="1" t="s">
        <v>158</v>
      </c>
      <c r="D954" s="1" t="s">
        <v>159</v>
      </c>
      <c r="E954" s="1">
        <v>3</v>
      </c>
      <c r="F954" s="58">
        <v>1400</v>
      </c>
      <c r="G954" s="58">
        <v>4200</v>
      </c>
    </row>
    <row r="955" spans="1:7" x14ac:dyDescent="0.25">
      <c r="A955" s="1">
        <v>434</v>
      </c>
      <c r="B955" s="1">
        <v>2</v>
      </c>
      <c r="C955" s="1" t="s">
        <v>28</v>
      </c>
      <c r="D955" s="1" t="s">
        <v>107</v>
      </c>
      <c r="E955" s="1">
        <v>2</v>
      </c>
      <c r="F955" s="58">
        <v>6000</v>
      </c>
      <c r="G955" s="58">
        <v>12000</v>
      </c>
    </row>
    <row r="956" spans="1:7" x14ac:dyDescent="0.25">
      <c r="A956" s="1">
        <v>436</v>
      </c>
      <c r="B956" s="1">
        <v>1</v>
      </c>
      <c r="C956" s="1" t="s">
        <v>112</v>
      </c>
      <c r="D956" s="1" t="s">
        <v>114</v>
      </c>
      <c r="E956" s="1">
        <v>1</v>
      </c>
      <c r="F956" s="58">
        <v>6000</v>
      </c>
      <c r="G956" s="58">
        <v>6000</v>
      </c>
    </row>
    <row r="957" spans="1:7" x14ac:dyDescent="0.25">
      <c r="A957" s="1">
        <v>436</v>
      </c>
      <c r="B957" s="1">
        <v>2</v>
      </c>
      <c r="C957" s="1" t="s">
        <v>22</v>
      </c>
      <c r="D957" s="1" t="s">
        <v>104</v>
      </c>
      <c r="E957" s="1">
        <v>1</v>
      </c>
      <c r="F957" s="58">
        <v>7000</v>
      </c>
      <c r="G957" s="58">
        <v>7000</v>
      </c>
    </row>
    <row r="958" spans="1:7" x14ac:dyDescent="0.25">
      <c r="A958" s="1">
        <v>437</v>
      </c>
      <c r="B958" s="1">
        <v>1</v>
      </c>
      <c r="C958" s="1" t="s">
        <v>65</v>
      </c>
      <c r="D958" s="1" t="s">
        <v>16</v>
      </c>
      <c r="E958" s="1">
        <v>1</v>
      </c>
      <c r="F958" s="58">
        <v>10000</v>
      </c>
      <c r="G958" s="58">
        <v>10000</v>
      </c>
    </row>
    <row r="959" spans="1:7" x14ac:dyDescent="0.25">
      <c r="A959" s="1">
        <v>438</v>
      </c>
      <c r="B959" s="1">
        <v>1</v>
      </c>
      <c r="C959" s="1" t="s">
        <v>65</v>
      </c>
      <c r="D959" s="1" t="s">
        <v>16</v>
      </c>
      <c r="E959" s="1">
        <v>1</v>
      </c>
      <c r="F959" s="58">
        <v>10000</v>
      </c>
      <c r="G959" s="58">
        <v>10000</v>
      </c>
    </row>
    <row r="960" spans="1:7" x14ac:dyDescent="0.25">
      <c r="A960" s="1">
        <v>439</v>
      </c>
      <c r="B960" s="1">
        <v>1</v>
      </c>
      <c r="C960" s="1" t="s">
        <v>31</v>
      </c>
      <c r="D960" s="1" t="s">
        <v>109</v>
      </c>
      <c r="E960" s="1">
        <v>2</v>
      </c>
      <c r="F960" s="58">
        <v>6000</v>
      </c>
      <c r="G960" s="58">
        <v>12000</v>
      </c>
    </row>
    <row r="961" spans="1:7" x14ac:dyDescent="0.25">
      <c r="A961" s="1">
        <v>440</v>
      </c>
      <c r="B961" s="1">
        <v>1</v>
      </c>
      <c r="C961" s="1" t="s">
        <v>182</v>
      </c>
      <c r="D961" s="1" t="s">
        <v>183</v>
      </c>
      <c r="E961" s="1">
        <v>1</v>
      </c>
      <c r="F961" s="58">
        <v>9000</v>
      </c>
      <c r="G961" s="58">
        <v>9000</v>
      </c>
    </row>
    <row r="962" spans="1:7" x14ac:dyDescent="0.25">
      <c r="A962" s="1">
        <v>440</v>
      </c>
      <c r="B962" s="1">
        <v>2</v>
      </c>
      <c r="C962" s="1" t="s">
        <v>10</v>
      </c>
      <c r="D962" s="1" t="s">
        <v>15</v>
      </c>
      <c r="E962" s="1">
        <v>1</v>
      </c>
      <c r="F962" s="58">
        <v>10000</v>
      </c>
      <c r="G962" s="58">
        <v>10000</v>
      </c>
    </row>
    <row r="963" spans="1:7" x14ac:dyDescent="0.25">
      <c r="A963" s="1">
        <v>441</v>
      </c>
      <c r="B963" s="1">
        <v>1</v>
      </c>
      <c r="C963" s="1" t="s">
        <v>182</v>
      </c>
      <c r="D963" s="1" t="s">
        <v>183</v>
      </c>
      <c r="E963" s="1">
        <v>1</v>
      </c>
      <c r="F963" s="58">
        <v>9000</v>
      </c>
      <c r="G963" s="58">
        <v>9000</v>
      </c>
    </row>
    <row r="964" spans="1:7" x14ac:dyDescent="0.25">
      <c r="A964" s="1">
        <v>443</v>
      </c>
      <c r="B964" s="1">
        <v>1</v>
      </c>
      <c r="C964" s="1" t="s">
        <v>28</v>
      </c>
      <c r="D964" s="1" t="s">
        <v>107</v>
      </c>
      <c r="E964" s="1">
        <v>1</v>
      </c>
      <c r="F964" s="58">
        <v>6000</v>
      </c>
      <c r="G964" s="58">
        <v>6000</v>
      </c>
    </row>
    <row r="965" spans="1:7" x14ac:dyDescent="0.25">
      <c r="A965" s="1">
        <v>445</v>
      </c>
      <c r="B965" s="1">
        <v>1</v>
      </c>
      <c r="C965" s="1" t="s">
        <v>182</v>
      </c>
      <c r="D965" s="1" t="s">
        <v>183</v>
      </c>
      <c r="E965" s="1">
        <v>1</v>
      </c>
      <c r="F965" s="58">
        <v>9000</v>
      </c>
      <c r="G965" s="58">
        <v>9000</v>
      </c>
    </row>
    <row r="966" spans="1:7" x14ac:dyDescent="0.25">
      <c r="A966" s="1">
        <v>442</v>
      </c>
      <c r="B966" s="1">
        <v>1</v>
      </c>
      <c r="C966" s="1" t="s">
        <v>182</v>
      </c>
      <c r="D966" s="1" t="s">
        <v>183</v>
      </c>
      <c r="E966" s="1">
        <v>2</v>
      </c>
      <c r="F966" s="58">
        <v>9000</v>
      </c>
      <c r="G966" s="58">
        <v>18000</v>
      </c>
    </row>
    <row r="967" spans="1:7" x14ac:dyDescent="0.25">
      <c r="A967" s="1">
        <v>442</v>
      </c>
      <c r="B967" s="1">
        <v>2</v>
      </c>
      <c r="C967" s="1" t="s">
        <v>302</v>
      </c>
      <c r="D967" s="1" t="s">
        <v>161</v>
      </c>
      <c r="E967" s="1">
        <v>3</v>
      </c>
      <c r="F967" s="58">
        <v>1200</v>
      </c>
      <c r="G967" s="58">
        <v>3600</v>
      </c>
    </row>
    <row r="968" spans="1:7" x14ac:dyDescent="0.25">
      <c r="A968" s="1">
        <v>446</v>
      </c>
      <c r="B968" s="1">
        <v>1</v>
      </c>
      <c r="C968" s="1" t="s">
        <v>110</v>
      </c>
      <c r="D968" s="1" t="s">
        <v>115</v>
      </c>
      <c r="E968" s="1">
        <v>1</v>
      </c>
      <c r="F968" s="58">
        <v>6000</v>
      </c>
      <c r="G968" s="58">
        <v>6000</v>
      </c>
    </row>
    <row r="969" spans="1:7" x14ac:dyDescent="0.25">
      <c r="A969" s="1">
        <v>446</v>
      </c>
      <c r="B969" s="1">
        <v>2</v>
      </c>
      <c r="C969" s="1" t="s">
        <v>158</v>
      </c>
      <c r="D969" s="1" t="s">
        <v>159</v>
      </c>
      <c r="E969" s="1">
        <v>2</v>
      </c>
      <c r="F969" s="58">
        <v>1400</v>
      </c>
      <c r="G969" s="58">
        <v>2800</v>
      </c>
    </row>
    <row r="970" spans="1:7" x14ac:dyDescent="0.25">
      <c r="A970" s="1">
        <v>446</v>
      </c>
      <c r="B970" s="1">
        <v>3</v>
      </c>
      <c r="C970" s="1" t="s">
        <v>65</v>
      </c>
      <c r="D970" s="1" t="s">
        <v>16</v>
      </c>
      <c r="E970" s="1">
        <v>1</v>
      </c>
      <c r="F970" s="58">
        <v>10000</v>
      </c>
      <c r="G970" s="58">
        <v>10000</v>
      </c>
    </row>
    <row r="971" spans="1:7" ht="30" x14ac:dyDescent="0.25">
      <c r="A971" s="1">
        <v>444</v>
      </c>
      <c r="B971" s="1">
        <v>1</v>
      </c>
      <c r="C971" s="1" t="s">
        <v>113</v>
      </c>
      <c r="D971" s="1" t="s">
        <v>171</v>
      </c>
      <c r="E971" s="1">
        <v>2</v>
      </c>
      <c r="F971" s="58">
        <v>6000</v>
      </c>
      <c r="G971" s="58">
        <v>12000</v>
      </c>
    </row>
    <row r="972" spans="1:7" x14ac:dyDescent="0.25">
      <c r="A972" s="1">
        <v>444</v>
      </c>
      <c r="B972" s="1">
        <v>2</v>
      </c>
      <c r="C972" s="1" t="s">
        <v>65</v>
      </c>
      <c r="D972" s="1" t="s">
        <v>16</v>
      </c>
      <c r="E972" s="1">
        <v>1</v>
      </c>
      <c r="F972" s="58">
        <v>10000</v>
      </c>
      <c r="G972" s="58">
        <v>10000</v>
      </c>
    </row>
    <row r="973" spans="1:7" x14ac:dyDescent="0.25">
      <c r="A973" s="1">
        <v>447</v>
      </c>
      <c r="B973" s="1">
        <v>1</v>
      </c>
      <c r="C973" s="1" t="s">
        <v>182</v>
      </c>
      <c r="D973" s="1" t="s">
        <v>183</v>
      </c>
      <c r="E973" s="1">
        <v>1</v>
      </c>
      <c r="F973" s="58">
        <v>9000</v>
      </c>
      <c r="G973" s="58">
        <v>9000</v>
      </c>
    </row>
    <row r="974" spans="1:7" x14ac:dyDescent="0.25">
      <c r="A974" s="1">
        <v>432</v>
      </c>
      <c r="B974" s="1">
        <v>1</v>
      </c>
      <c r="C974" s="1" t="s">
        <v>27</v>
      </c>
      <c r="D974" s="1" t="s">
        <v>106</v>
      </c>
      <c r="E974" s="1">
        <v>2</v>
      </c>
      <c r="F974" s="58">
        <v>7000</v>
      </c>
      <c r="G974" s="58">
        <v>14000</v>
      </c>
    </row>
    <row r="975" spans="1:7" x14ac:dyDescent="0.25">
      <c r="A975" s="1">
        <v>448</v>
      </c>
      <c r="B975" s="1">
        <v>1</v>
      </c>
      <c r="C975" s="1" t="s">
        <v>31</v>
      </c>
      <c r="D975" s="1" t="s">
        <v>109</v>
      </c>
      <c r="E975" s="1">
        <v>2</v>
      </c>
      <c r="F975" s="58">
        <v>6000</v>
      </c>
      <c r="G975" s="58">
        <v>12000</v>
      </c>
    </row>
    <row r="976" spans="1:7" x14ac:dyDescent="0.25">
      <c r="A976" s="1">
        <v>448</v>
      </c>
      <c r="B976" s="1">
        <v>2</v>
      </c>
      <c r="C976" s="1" t="s">
        <v>158</v>
      </c>
      <c r="D976" s="1" t="s">
        <v>159</v>
      </c>
      <c r="E976" s="1">
        <v>1</v>
      </c>
      <c r="F976" s="58">
        <v>1400</v>
      </c>
      <c r="G976" s="58">
        <v>1400</v>
      </c>
    </row>
    <row r="977" spans="1:7" x14ac:dyDescent="0.25">
      <c r="A977" s="1">
        <v>449</v>
      </c>
      <c r="B977" s="1">
        <v>1</v>
      </c>
      <c r="C977" s="1" t="s">
        <v>28</v>
      </c>
      <c r="D977" s="1" t="s">
        <v>107</v>
      </c>
      <c r="E977" s="1">
        <v>1</v>
      </c>
      <c r="F977" s="58">
        <v>6000</v>
      </c>
      <c r="G977" s="58">
        <v>6000</v>
      </c>
    </row>
    <row r="978" spans="1:7" x14ac:dyDescent="0.25">
      <c r="A978" s="1">
        <v>451</v>
      </c>
      <c r="B978" s="1">
        <v>1</v>
      </c>
      <c r="C978" s="1" t="s">
        <v>186</v>
      </c>
      <c r="D978" s="1" t="s">
        <v>187</v>
      </c>
      <c r="E978" s="1">
        <v>1</v>
      </c>
      <c r="F978" s="58">
        <v>3000</v>
      </c>
      <c r="G978" s="58">
        <v>3000</v>
      </c>
    </row>
    <row r="979" spans="1:7" x14ac:dyDescent="0.25">
      <c r="A979" s="1">
        <v>452</v>
      </c>
      <c r="B979" s="1">
        <v>1</v>
      </c>
      <c r="C979" s="1" t="s">
        <v>23</v>
      </c>
      <c r="D979" s="1" t="s">
        <v>13</v>
      </c>
      <c r="E979" s="1">
        <v>1</v>
      </c>
      <c r="F979" s="58">
        <v>9000</v>
      </c>
      <c r="G979" s="58">
        <v>9000</v>
      </c>
    </row>
    <row r="980" spans="1:7" x14ac:dyDescent="0.25">
      <c r="A980" s="1">
        <v>452</v>
      </c>
      <c r="B980" s="1">
        <v>2</v>
      </c>
      <c r="C980" s="1" t="s">
        <v>28</v>
      </c>
      <c r="D980" s="1" t="s">
        <v>107</v>
      </c>
      <c r="E980" s="1">
        <v>1</v>
      </c>
      <c r="F980" s="58">
        <v>6000</v>
      </c>
      <c r="G980" s="58">
        <v>6000</v>
      </c>
    </row>
    <row r="981" spans="1:7" x14ac:dyDescent="0.25">
      <c r="A981" s="1">
        <v>452</v>
      </c>
      <c r="B981" s="1">
        <v>3</v>
      </c>
      <c r="C981" s="1" t="s">
        <v>65</v>
      </c>
      <c r="D981" s="1" t="s">
        <v>16</v>
      </c>
      <c r="E981" s="1">
        <v>2</v>
      </c>
      <c r="F981" s="58">
        <v>10000</v>
      </c>
      <c r="G981" s="58">
        <v>20000</v>
      </c>
    </row>
    <row r="982" spans="1:7" x14ac:dyDescent="0.25">
      <c r="A982" s="1">
        <v>453</v>
      </c>
      <c r="B982" s="1">
        <v>1</v>
      </c>
      <c r="C982" s="1" t="s">
        <v>25</v>
      </c>
      <c r="D982" s="1" t="s">
        <v>12</v>
      </c>
      <c r="E982" s="1">
        <v>1</v>
      </c>
      <c r="F982" s="58">
        <v>12000</v>
      </c>
      <c r="G982" s="58">
        <v>12000</v>
      </c>
    </row>
    <row r="983" spans="1:7" x14ac:dyDescent="0.25">
      <c r="A983" s="1">
        <v>455</v>
      </c>
      <c r="B983" s="1">
        <v>1</v>
      </c>
      <c r="C983" s="1" t="s">
        <v>65</v>
      </c>
      <c r="D983" s="1" t="s">
        <v>16</v>
      </c>
      <c r="E983" s="1">
        <v>2</v>
      </c>
      <c r="F983" s="58">
        <v>10000</v>
      </c>
      <c r="G983" s="58">
        <v>20000</v>
      </c>
    </row>
    <row r="984" spans="1:7" x14ac:dyDescent="0.25">
      <c r="A984" s="1">
        <v>455</v>
      </c>
      <c r="B984" s="1">
        <v>2</v>
      </c>
      <c r="C984" s="1" t="s">
        <v>110</v>
      </c>
      <c r="D984" s="1" t="s">
        <v>115</v>
      </c>
      <c r="E984" s="1">
        <v>2</v>
      </c>
      <c r="F984" s="58">
        <v>6000</v>
      </c>
      <c r="G984" s="58">
        <v>12000</v>
      </c>
    </row>
    <row r="985" spans="1:7" x14ac:dyDescent="0.25">
      <c r="A985" s="1">
        <v>458</v>
      </c>
      <c r="B985" s="1">
        <v>1</v>
      </c>
      <c r="C985" s="1" t="s">
        <v>22</v>
      </c>
      <c r="D985" s="1" t="s">
        <v>104</v>
      </c>
      <c r="E985" s="1">
        <v>1</v>
      </c>
      <c r="F985" s="58">
        <v>7000</v>
      </c>
      <c r="G985" s="58">
        <v>7000</v>
      </c>
    </row>
    <row r="986" spans="1:7" x14ac:dyDescent="0.25">
      <c r="A986" s="1">
        <v>458</v>
      </c>
      <c r="B986" s="1">
        <v>2</v>
      </c>
      <c r="C986" s="1" t="s">
        <v>110</v>
      </c>
      <c r="D986" s="1" t="s">
        <v>115</v>
      </c>
      <c r="E986" s="1">
        <v>1</v>
      </c>
      <c r="F986" s="58">
        <v>6000</v>
      </c>
      <c r="G986" s="58">
        <v>6000</v>
      </c>
    </row>
    <row r="987" spans="1:7" x14ac:dyDescent="0.25">
      <c r="A987" s="1">
        <v>459</v>
      </c>
      <c r="B987" s="1">
        <v>1</v>
      </c>
      <c r="C987" s="1" t="s">
        <v>110</v>
      </c>
      <c r="D987" s="1" t="s">
        <v>115</v>
      </c>
      <c r="E987" s="1">
        <v>3</v>
      </c>
      <c r="F987" s="58">
        <v>6000</v>
      </c>
      <c r="G987" s="58">
        <v>18000</v>
      </c>
    </row>
    <row r="988" spans="1:7" x14ac:dyDescent="0.25">
      <c r="A988" s="1">
        <v>457</v>
      </c>
      <c r="B988" s="1">
        <v>1</v>
      </c>
      <c r="C988" s="1" t="s">
        <v>65</v>
      </c>
      <c r="D988" s="1" t="s">
        <v>16</v>
      </c>
      <c r="E988" s="1">
        <v>1</v>
      </c>
      <c r="F988" s="58">
        <v>10000</v>
      </c>
      <c r="G988" s="58">
        <v>10000</v>
      </c>
    </row>
    <row r="989" spans="1:7" x14ac:dyDescent="0.25">
      <c r="A989" s="1">
        <v>454</v>
      </c>
      <c r="B989" s="1">
        <v>1</v>
      </c>
      <c r="C989" s="1" t="s">
        <v>65</v>
      </c>
      <c r="D989" s="1" t="s">
        <v>16</v>
      </c>
      <c r="E989" s="1">
        <v>1</v>
      </c>
      <c r="F989" s="58">
        <v>10000</v>
      </c>
      <c r="G989" s="58">
        <v>10000</v>
      </c>
    </row>
    <row r="990" spans="1:7" x14ac:dyDescent="0.25">
      <c r="A990" s="1">
        <v>456</v>
      </c>
      <c r="B990" s="1">
        <v>1</v>
      </c>
      <c r="C990" s="1" t="s">
        <v>190</v>
      </c>
      <c r="D990" s="1" t="s">
        <v>184</v>
      </c>
      <c r="E990" s="1">
        <v>3</v>
      </c>
      <c r="F990" s="58">
        <v>6000</v>
      </c>
      <c r="G990" s="58">
        <v>18000</v>
      </c>
    </row>
    <row r="991" spans="1:7" x14ac:dyDescent="0.25">
      <c r="A991" s="1">
        <v>456</v>
      </c>
      <c r="B991" s="1">
        <v>2</v>
      </c>
      <c r="C991" s="1" t="s">
        <v>302</v>
      </c>
      <c r="D991" s="1" t="s">
        <v>161</v>
      </c>
      <c r="E991" s="1">
        <v>1</v>
      </c>
      <c r="F991" s="58">
        <v>1200</v>
      </c>
      <c r="G991" s="58">
        <v>1200</v>
      </c>
    </row>
    <row r="992" spans="1:7" x14ac:dyDescent="0.25">
      <c r="A992" s="1">
        <v>456</v>
      </c>
      <c r="B992" s="1">
        <v>3</v>
      </c>
      <c r="C992" s="1" t="s">
        <v>158</v>
      </c>
      <c r="D992" s="1" t="s">
        <v>159</v>
      </c>
      <c r="E992" s="1">
        <v>1</v>
      </c>
      <c r="F992" s="58">
        <v>1400</v>
      </c>
      <c r="G992" s="58">
        <v>1400</v>
      </c>
    </row>
    <row r="993" spans="1:7" x14ac:dyDescent="0.25">
      <c r="A993" s="1">
        <v>450</v>
      </c>
      <c r="B993" s="1">
        <v>1</v>
      </c>
      <c r="C993" s="1" t="s">
        <v>127</v>
      </c>
      <c r="D993" s="1" t="s">
        <v>128</v>
      </c>
      <c r="E993" s="1">
        <v>1</v>
      </c>
      <c r="F993" s="58">
        <v>4000</v>
      </c>
      <c r="G993" s="58">
        <v>4000</v>
      </c>
    </row>
    <row r="994" spans="1:7" x14ac:dyDescent="0.25">
      <c r="A994" s="1">
        <v>450</v>
      </c>
      <c r="B994" s="1">
        <v>2</v>
      </c>
      <c r="C994" s="1" t="s">
        <v>65</v>
      </c>
      <c r="D994" s="1" t="s">
        <v>16</v>
      </c>
      <c r="E994" s="1">
        <v>2</v>
      </c>
      <c r="F994" s="58">
        <v>10000</v>
      </c>
      <c r="G994" s="58">
        <v>20000</v>
      </c>
    </row>
    <row r="995" spans="1:7" x14ac:dyDescent="0.25">
      <c r="A995" s="1">
        <v>450</v>
      </c>
      <c r="B995" s="1">
        <v>3</v>
      </c>
      <c r="C995" s="1" t="s">
        <v>27</v>
      </c>
      <c r="D995" s="1" t="s">
        <v>106</v>
      </c>
      <c r="E995" s="1">
        <v>1</v>
      </c>
      <c r="F995" s="58">
        <v>7000</v>
      </c>
      <c r="G995" s="58">
        <v>7000</v>
      </c>
    </row>
    <row r="996" spans="1:7" x14ac:dyDescent="0.25">
      <c r="A996" s="1">
        <v>450</v>
      </c>
      <c r="B996" s="1">
        <v>4</v>
      </c>
      <c r="C996" s="1" t="s">
        <v>158</v>
      </c>
      <c r="D996" s="1" t="s">
        <v>159</v>
      </c>
      <c r="E996" s="1">
        <v>3</v>
      </c>
      <c r="F996" s="58">
        <v>1400</v>
      </c>
      <c r="G996" s="58">
        <v>4200</v>
      </c>
    </row>
    <row r="997" spans="1:7" x14ac:dyDescent="0.25">
      <c r="A997" s="1">
        <v>460</v>
      </c>
      <c r="B997" s="1">
        <v>1</v>
      </c>
      <c r="C997" s="1" t="s">
        <v>22</v>
      </c>
      <c r="D997" s="1" t="s">
        <v>104</v>
      </c>
      <c r="E997" s="1">
        <v>1</v>
      </c>
      <c r="F997" s="58">
        <v>7000</v>
      </c>
      <c r="G997" s="58">
        <v>7000</v>
      </c>
    </row>
    <row r="998" spans="1:7" x14ac:dyDescent="0.25">
      <c r="A998" s="1">
        <v>461</v>
      </c>
      <c r="B998" s="1">
        <v>1</v>
      </c>
      <c r="C998" s="1" t="s">
        <v>21</v>
      </c>
      <c r="D998" s="1" t="s">
        <v>5</v>
      </c>
      <c r="E998" s="1">
        <v>2</v>
      </c>
      <c r="F998" s="58">
        <v>3000</v>
      </c>
      <c r="G998" s="58">
        <v>6000</v>
      </c>
    </row>
    <row r="999" spans="1:7" x14ac:dyDescent="0.25">
      <c r="A999" s="1">
        <v>468</v>
      </c>
      <c r="B999" s="1">
        <v>1</v>
      </c>
      <c r="C999" s="1" t="s">
        <v>110</v>
      </c>
      <c r="D999" s="1" t="s">
        <v>115</v>
      </c>
      <c r="E999" s="1">
        <v>1</v>
      </c>
      <c r="F999" s="58">
        <v>6000</v>
      </c>
      <c r="G999" s="58">
        <v>6000</v>
      </c>
    </row>
    <row r="1000" spans="1:7" x14ac:dyDescent="0.25">
      <c r="A1000" s="1">
        <v>465</v>
      </c>
      <c r="B1000" s="1">
        <v>1</v>
      </c>
      <c r="C1000" s="1" t="s">
        <v>21</v>
      </c>
      <c r="D1000" s="1" t="s">
        <v>5</v>
      </c>
      <c r="E1000" s="1">
        <v>2</v>
      </c>
      <c r="F1000" s="58">
        <v>3000</v>
      </c>
      <c r="G1000" s="58">
        <v>6000</v>
      </c>
    </row>
    <row r="1001" spans="1:7" x14ac:dyDescent="0.25">
      <c r="A1001" s="1">
        <v>465</v>
      </c>
      <c r="B1001" s="1">
        <v>2</v>
      </c>
      <c r="C1001" s="1" t="s">
        <v>22</v>
      </c>
      <c r="D1001" s="1" t="s">
        <v>104</v>
      </c>
      <c r="E1001" s="1">
        <v>1</v>
      </c>
      <c r="F1001" s="58">
        <v>7000</v>
      </c>
      <c r="G1001" s="58">
        <v>7000</v>
      </c>
    </row>
    <row r="1002" spans="1:7" x14ac:dyDescent="0.25">
      <c r="A1002" s="1">
        <v>467</v>
      </c>
      <c r="B1002" s="1">
        <v>1</v>
      </c>
      <c r="C1002" s="1" t="s">
        <v>21</v>
      </c>
      <c r="D1002" s="1" t="s">
        <v>5</v>
      </c>
      <c r="E1002" s="1">
        <v>1</v>
      </c>
      <c r="F1002" s="58">
        <v>3000</v>
      </c>
      <c r="G1002" s="58">
        <v>3000</v>
      </c>
    </row>
    <row r="1003" spans="1:7" x14ac:dyDescent="0.25">
      <c r="A1003" s="1">
        <v>467</v>
      </c>
      <c r="B1003" s="1">
        <v>2</v>
      </c>
      <c r="C1003" s="1" t="s">
        <v>186</v>
      </c>
      <c r="D1003" s="1" t="s">
        <v>187</v>
      </c>
      <c r="E1003" s="1">
        <v>1</v>
      </c>
      <c r="F1003" s="58">
        <v>3000</v>
      </c>
      <c r="G1003" s="58">
        <v>3000</v>
      </c>
    </row>
    <row r="1004" spans="1:7" x14ac:dyDescent="0.25">
      <c r="A1004" s="1">
        <v>464</v>
      </c>
      <c r="B1004" s="1">
        <v>1</v>
      </c>
      <c r="C1004" s="1" t="s">
        <v>25</v>
      </c>
      <c r="D1004" s="1" t="s">
        <v>12</v>
      </c>
      <c r="E1004" s="1">
        <v>1</v>
      </c>
      <c r="F1004" s="58">
        <v>12000</v>
      </c>
      <c r="G1004" s="58">
        <v>12000</v>
      </c>
    </row>
    <row r="1005" spans="1:7" x14ac:dyDescent="0.25">
      <c r="A1005" s="1">
        <v>464</v>
      </c>
      <c r="B1005" s="1">
        <v>2</v>
      </c>
      <c r="C1005" s="1" t="s">
        <v>801</v>
      </c>
      <c r="D1005" s="1" t="s">
        <v>802</v>
      </c>
      <c r="E1005" s="1">
        <v>2</v>
      </c>
      <c r="F1005" s="58">
        <v>5000</v>
      </c>
      <c r="G1005" s="58">
        <v>10000</v>
      </c>
    </row>
    <row r="1006" spans="1:7" x14ac:dyDescent="0.25">
      <c r="A1006" s="1">
        <v>464</v>
      </c>
      <c r="B1006" s="1">
        <v>3</v>
      </c>
      <c r="C1006" s="1" t="s">
        <v>21</v>
      </c>
      <c r="D1006" s="1" t="s">
        <v>5</v>
      </c>
      <c r="E1006" s="1">
        <v>3</v>
      </c>
      <c r="F1006" s="58">
        <v>3000</v>
      </c>
      <c r="G1006" s="58">
        <v>9000</v>
      </c>
    </row>
    <row r="1007" spans="1:7" x14ac:dyDescent="0.25">
      <c r="A1007" s="1">
        <v>466</v>
      </c>
      <c r="B1007" s="1">
        <v>1</v>
      </c>
      <c r="C1007" s="1" t="s">
        <v>21</v>
      </c>
      <c r="D1007" s="1" t="s">
        <v>5</v>
      </c>
      <c r="E1007" s="1">
        <v>2</v>
      </c>
      <c r="F1007" s="58">
        <v>3000</v>
      </c>
      <c r="G1007" s="58">
        <v>6000</v>
      </c>
    </row>
    <row r="1008" spans="1:7" x14ac:dyDescent="0.25">
      <c r="A1008" s="1">
        <v>466</v>
      </c>
      <c r="B1008" s="1">
        <v>2</v>
      </c>
      <c r="C1008" s="1" t="s">
        <v>24</v>
      </c>
      <c r="D1008" s="1" t="s">
        <v>105</v>
      </c>
      <c r="E1008" s="1">
        <v>3</v>
      </c>
      <c r="F1008" s="58">
        <v>7000</v>
      </c>
      <c r="G1008" s="58">
        <v>21000</v>
      </c>
    </row>
    <row r="1009" spans="1:7" x14ac:dyDescent="0.25">
      <c r="A1009" s="1">
        <v>466</v>
      </c>
      <c r="B1009" s="1">
        <v>3</v>
      </c>
      <c r="C1009" s="1" t="s">
        <v>28</v>
      </c>
      <c r="D1009" s="1" t="s">
        <v>107</v>
      </c>
      <c r="E1009" s="1">
        <v>1</v>
      </c>
      <c r="F1009" s="58">
        <v>6000</v>
      </c>
      <c r="G1009" s="58">
        <v>6000</v>
      </c>
    </row>
    <row r="1010" spans="1:7" x14ac:dyDescent="0.25">
      <c r="A1010" s="1">
        <v>466</v>
      </c>
      <c r="B1010" s="1">
        <v>4</v>
      </c>
      <c r="C1010" s="1" t="s">
        <v>22</v>
      </c>
      <c r="D1010" s="1" t="s">
        <v>104</v>
      </c>
      <c r="E1010" s="1">
        <v>1</v>
      </c>
      <c r="F1010" s="58">
        <v>7000</v>
      </c>
      <c r="G1010" s="58">
        <v>7000</v>
      </c>
    </row>
    <row r="1011" spans="1:7" x14ac:dyDescent="0.25">
      <c r="A1011" s="1">
        <v>462</v>
      </c>
      <c r="B1011" s="1">
        <v>1</v>
      </c>
      <c r="C1011" s="1" t="s">
        <v>22</v>
      </c>
      <c r="D1011" s="1" t="s">
        <v>104</v>
      </c>
      <c r="E1011" s="1">
        <v>1</v>
      </c>
      <c r="F1011" s="58">
        <v>7000</v>
      </c>
      <c r="G1011" s="58">
        <v>7000</v>
      </c>
    </row>
    <row r="1012" spans="1:7" x14ac:dyDescent="0.25">
      <c r="A1012" s="1">
        <v>462</v>
      </c>
      <c r="B1012" s="1">
        <v>2</v>
      </c>
      <c r="C1012" s="1" t="s">
        <v>21</v>
      </c>
      <c r="D1012" s="1" t="s">
        <v>5</v>
      </c>
      <c r="E1012" s="1">
        <v>4</v>
      </c>
      <c r="F1012" s="58">
        <v>3000</v>
      </c>
      <c r="G1012" s="58">
        <v>12000</v>
      </c>
    </row>
    <row r="1013" spans="1:7" x14ac:dyDescent="0.25">
      <c r="A1013" s="1">
        <v>462</v>
      </c>
      <c r="B1013" s="1">
        <v>3</v>
      </c>
      <c r="C1013" s="1" t="s">
        <v>10</v>
      </c>
      <c r="D1013" s="1" t="s">
        <v>15</v>
      </c>
      <c r="E1013" s="1">
        <v>1</v>
      </c>
      <c r="F1013" s="58">
        <v>10000</v>
      </c>
      <c r="G1013" s="58">
        <v>10000</v>
      </c>
    </row>
    <row r="1014" spans="1:7" x14ac:dyDescent="0.25">
      <c r="A1014" s="1">
        <v>463</v>
      </c>
      <c r="B1014" s="1">
        <v>1</v>
      </c>
      <c r="C1014" s="1" t="s">
        <v>21</v>
      </c>
      <c r="D1014" s="1" t="s">
        <v>5</v>
      </c>
      <c r="E1014" s="1">
        <v>3</v>
      </c>
      <c r="F1014" s="58">
        <v>3000</v>
      </c>
      <c r="G1014" s="58">
        <v>9000</v>
      </c>
    </row>
    <row r="1015" spans="1:7" x14ac:dyDescent="0.25">
      <c r="A1015" s="1">
        <v>463</v>
      </c>
      <c r="B1015" s="1">
        <v>2</v>
      </c>
      <c r="C1015" s="1" t="s">
        <v>22</v>
      </c>
      <c r="D1015" s="1" t="s">
        <v>104</v>
      </c>
      <c r="E1015" s="1">
        <v>1</v>
      </c>
      <c r="F1015" s="58">
        <v>7000</v>
      </c>
      <c r="G1015" s="58">
        <v>7000</v>
      </c>
    </row>
    <row r="1016" spans="1:7" x14ac:dyDescent="0.25">
      <c r="A1016" s="1">
        <v>463</v>
      </c>
      <c r="B1016" s="1">
        <v>3</v>
      </c>
      <c r="C1016" s="1" t="s">
        <v>28</v>
      </c>
      <c r="D1016" s="1" t="s">
        <v>107</v>
      </c>
      <c r="E1016" s="1">
        <v>4</v>
      </c>
      <c r="F1016" s="58">
        <v>6000</v>
      </c>
      <c r="G1016" s="58">
        <v>24000</v>
      </c>
    </row>
    <row r="1017" spans="1:7" x14ac:dyDescent="0.25">
      <c r="A1017" s="1">
        <v>463</v>
      </c>
      <c r="B1017" s="1">
        <v>4</v>
      </c>
      <c r="C1017" s="1" t="s">
        <v>24</v>
      </c>
      <c r="D1017" s="1" t="s">
        <v>105</v>
      </c>
      <c r="E1017" s="1">
        <v>2</v>
      </c>
      <c r="F1017" s="58">
        <v>7000</v>
      </c>
      <c r="G1017" s="58">
        <v>14000</v>
      </c>
    </row>
    <row r="1018" spans="1:7" x14ac:dyDescent="0.25">
      <c r="A1018" s="1">
        <v>469</v>
      </c>
      <c r="B1018" s="1">
        <v>1</v>
      </c>
      <c r="C1018" s="1" t="s">
        <v>28</v>
      </c>
      <c r="D1018" s="1" t="s">
        <v>107</v>
      </c>
      <c r="E1018" s="1">
        <v>2</v>
      </c>
      <c r="F1018" s="58">
        <v>6000</v>
      </c>
      <c r="G1018" s="58">
        <v>12000</v>
      </c>
    </row>
    <row r="1019" spans="1:7" x14ac:dyDescent="0.25">
      <c r="A1019" s="1">
        <v>469</v>
      </c>
      <c r="B1019" s="1">
        <v>2</v>
      </c>
      <c r="C1019" s="1" t="s">
        <v>10</v>
      </c>
      <c r="D1019" s="1" t="s">
        <v>15</v>
      </c>
      <c r="E1019" s="1">
        <v>1</v>
      </c>
      <c r="F1019" s="58">
        <v>10000</v>
      </c>
      <c r="G1019" s="58">
        <v>10000</v>
      </c>
    </row>
    <row r="1020" spans="1:7" x14ac:dyDescent="0.25">
      <c r="A1020" s="1">
        <v>469</v>
      </c>
      <c r="B1020" s="1">
        <v>3</v>
      </c>
      <c r="C1020" s="1" t="s">
        <v>131</v>
      </c>
      <c r="D1020" s="1" t="s">
        <v>133</v>
      </c>
      <c r="E1020" s="1">
        <v>1</v>
      </c>
      <c r="F1020" s="58">
        <v>14000</v>
      </c>
      <c r="G1020" s="58">
        <v>14000</v>
      </c>
    </row>
    <row r="1021" spans="1:7" x14ac:dyDescent="0.25">
      <c r="A1021" s="1">
        <v>473</v>
      </c>
      <c r="B1021" s="1">
        <v>1</v>
      </c>
      <c r="C1021" s="1" t="s">
        <v>10</v>
      </c>
      <c r="D1021" s="1" t="s">
        <v>15</v>
      </c>
      <c r="E1021" s="1">
        <v>3</v>
      </c>
      <c r="F1021" s="58">
        <v>10000</v>
      </c>
      <c r="G1021" s="58">
        <v>30000</v>
      </c>
    </row>
    <row r="1022" spans="1:7" x14ac:dyDescent="0.25">
      <c r="A1022" s="1">
        <v>473</v>
      </c>
      <c r="B1022" s="1">
        <v>2</v>
      </c>
      <c r="C1022" s="1" t="s">
        <v>23</v>
      </c>
      <c r="D1022" s="1" t="s">
        <v>13</v>
      </c>
      <c r="E1022" s="1">
        <v>1</v>
      </c>
      <c r="F1022" s="58">
        <v>9000</v>
      </c>
      <c r="G1022" s="58">
        <v>9000</v>
      </c>
    </row>
    <row r="1023" spans="1:7" x14ac:dyDescent="0.25">
      <c r="A1023" s="1">
        <v>473</v>
      </c>
      <c r="B1023" s="1">
        <v>3</v>
      </c>
      <c r="C1023" s="1" t="s">
        <v>25</v>
      </c>
      <c r="D1023" s="1" t="s">
        <v>12</v>
      </c>
      <c r="E1023" s="1">
        <v>1</v>
      </c>
      <c r="F1023" s="58">
        <v>12000</v>
      </c>
      <c r="G1023" s="58">
        <v>12000</v>
      </c>
    </row>
    <row r="1024" spans="1:7" x14ac:dyDescent="0.25">
      <c r="A1024" s="1">
        <v>470</v>
      </c>
      <c r="B1024" s="1">
        <v>1</v>
      </c>
      <c r="C1024" s="1" t="s">
        <v>21</v>
      </c>
      <c r="D1024" s="1" t="s">
        <v>5</v>
      </c>
      <c r="E1024" s="1">
        <v>1</v>
      </c>
      <c r="F1024" s="58">
        <v>3000</v>
      </c>
      <c r="G1024" s="58">
        <v>3000</v>
      </c>
    </row>
    <row r="1025" spans="1:7" x14ac:dyDescent="0.25">
      <c r="A1025" s="1">
        <v>470</v>
      </c>
      <c r="B1025" s="1">
        <v>2</v>
      </c>
      <c r="C1025" s="1" t="s">
        <v>65</v>
      </c>
      <c r="D1025" s="1" t="s">
        <v>16</v>
      </c>
      <c r="E1025" s="1">
        <v>2</v>
      </c>
      <c r="F1025" s="58">
        <v>10000</v>
      </c>
      <c r="G1025" s="58">
        <v>20000</v>
      </c>
    </row>
    <row r="1026" spans="1:7" x14ac:dyDescent="0.25">
      <c r="A1026" s="1">
        <v>471</v>
      </c>
      <c r="B1026" s="1">
        <v>1</v>
      </c>
      <c r="C1026" s="1" t="s">
        <v>21</v>
      </c>
      <c r="D1026" s="1" t="s">
        <v>5</v>
      </c>
      <c r="E1026" s="1">
        <v>1</v>
      </c>
      <c r="F1026" s="58">
        <v>3000</v>
      </c>
      <c r="G1026" s="58">
        <v>3000</v>
      </c>
    </row>
    <row r="1027" spans="1:7" x14ac:dyDescent="0.25">
      <c r="A1027" s="1">
        <v>471</v>
      </c>
      <c r="B1027" s="1">
        <v>2</v>
      </c>
      <c r="C1027" s="1" t="s">
        <v>131</v>
      </c>
      <c r="D1027" s="1" t="s">
        <v>133</v>
      </c>
      <c r="E1027" s="1">
        <v>1</v>
      </c>
      <c r="F1027" s="58">
        <v>14000</v>
      </c>
      <c r="G1027" s="58">
        <v>14000</v>
      </c>
    </row>
    <row r="1028" spans="1:7" x14ac:dyDescent="0.25">
      <c r="A1028" s="1">
        <v>471</v>
      </c>
      <c r="B1028" s="1">
        <v>3</v>
      </c>
      <c r="C1028" s="1" t="s">
        <v>10</v>
      </c>
      <c r="D1028" s="1" t="s">
        <v>15</v>
      </c>
      <c r="E1028" s="1">
        <v>1</v>
      </c>
      <c r="F1028" s="58">
        <v>10000</v>
      </c>
      <c r="G1028" s="58">
        <v>10000</v>
      </c>
    </row>
    <row r="1029" spans="1:7" x14ac:dyDescent="0.25">
      <c r="A1029" s="1">
        <v>472</v>
      </c>
      <c r="B1029" s="1">
        <v>1</v>
      </c>
      <c r="C1029" s="1" t="s">
        <v>24</v>
      </c>
      <c r="D1029" s="1" t="s">
        <v>105</v>
      </c>
      <c r="E1029" s="1">
        <v>4</v>
      </c>
      <c r="F1029" s="58">
        <v>7000</v>
      </c>
      <c r="G1029" s="58">
        <v>28000</v>
      </c>
    </row>
    <row r="1030" spans="1:7" x14ac:dyDescent="0.25">
      <c r="A1030" s="1">
        <v>460</v>
      </c>
      <c r="B1030" s="1">
        <v>1</v>
      </c>
      <c r="C1030" s="1" t="s">
        <v>65</v>
      </c>
      <c r="D1030" s="1" t="s">
        <v>16</v>
      </c>
      <c r="E1030" s="1">
        <v>1</v>
      </c>
      <c r="F1030" s="58">
        <v>10000</v>
      </c>
      <c r="G1030" s="58">
        <v>10000</v>
      </c>
    </row>
    <row r="1031" spans="1:7" x14ac:dyDescent="0.25">
      <c r="A1031" s="1">
        <v>460</v>
      </c>
      <c r="B1031" s="1">
        <v>2</v>
      </c>
      <c r="C1031" s="1" t="s">
        <v>110</v>
      </c>
      <c r="D1031" s="1" t="s">
        <v>115</v>
      </c>
      <c r="E1031" s="1">
        <v>1</v>
      </c>
      <c r="F1031" s="58">
        <v>6000</v>
      </c>
      <c r="G1031" s="58">
        <v>6000</v>
      </c>
    </row>
    <row r="1032" spans="1:7" x14ac:dyDescent="0.25">
      <c r="A1032" s="1">
        <v>475</v>
      </c>
      <c r="B1032" s="1">
        <v>1</v>
      </c>
      <c r="C1032" s="1" t="s">
        <v>65</v>
      </c>
      <c r="D1032" s="1" t="s">
        <v>16</v>
      </c>
      <c r="E1032" s="1">
        <v>1</v>
      </c>
      <c r="F1032" s="58">
        <v>10000</v>
      </c>
      <c r="G1032" s="58">
        <v>10000</v>
      </c>
    </row>
    <row r="1033" spans="1:7" x14ac:dyDescent="0.25">
      <c r="A1033" s="1">
        <v>474</v>
      </c>
      <c r="B1033" s="1">
        <v>1</v>
      </c>
      <c r="C1033" s="1" t="s">
        <v>130</v>
      </c>
      <c r="D1033" s="1" t="s">
        <v>132</v>
      </c>
      <c r="E1033" s="1">
        <v>2</v>
      </c>
      <c r="F1033" s="58">
        <v>12000</v>
      </c>
      <c r="G1033" s="58">
        <v>24000</v>
      </c>
    </row>
    <row r="1034" spans="1:7" x14ac:dyDescent="0.25">
      <c r="A1034" s="1">
        <v>474</v>
      </c>
      <c r="B1034" s="1">
        <v>2</v>
      </c>
      <c r="C1034" s="1" t="s">
        <v>302</v>
      </c>
      <c r="D1034" s="1" t="s">
        <v>161</v>
      </c>
      <c r="E1034" s="1">
        <v>1</v>
      </c>
      <c r="F1034" s="58">
        <v>1200</v>
      </c>
      <c r="G1034" s="58">
        <v>1200</v>
      </c>
    </row>
    <row r="1035" spans="1:7" x14ac:dyDescent="0.25">
      <c r="A1035" s="1">
        <v>474</v>
      </c>
      <c r="B1035" s="1">
        <v>3</v>
      </c>
      <c r="C1035" s="1" t="s">
        <v>10</v>
      </c>
      <c r="D1035" s="1" t="s">
        <v>15</v>
      </c>
      <c r="E1035" s="1">
        <v>2</v>
      </c>
      <c r="F1035" s="58">
        <v>10000</v>
      </c>
      <c r="G1035" s="58">
        <v>20000</v>
      </c>
    </row>
    <row r="1036" spans="1:7" x14ac:dyDescent="0.25">
      <c r="A1036" s="1">
        <v>474</v>
      </c>
      <c r="B1036" s="1">
        <v>4</v>
      </c>
      <c r="C1036" s="1" t="s">
        <v>158</v>
      </c>
      <c r="D1036" s="1" t="s">
        <v>159</v>
      </c>
      <c r="E1036" s="1">
        <v>2</v>
      </c>
      <c r="F1036" s="58">
        <v>1400</v>
      </c>
      <c r="G1036" s="58">
        <v>2800</v>
      </c>
    </row>
    <row r="1037" spans="1:7" x14ac:dyDescent="0.25">
      <c r="A1037" s="1">
        <v>476</v>
      </c>
      <c r="B1037" s="1">
        <v>1</v>
      </c>
      <c r="C1037" s="1" t="s">
        <v>127</v>
      </c>
      <c r="D1037" s="1" t="s">
        <v>128</v>
      </c>
      <c r="E1037" s="1">
        <v>1</v>
      </c>
      <c r="F1037" s="58">
        <v>4000</v>
      </c>
      <c r="G1037" s="58">
        <v>4000</v>
      </c>
    </row>
    <row r="1038" spans="1:7" x14ac:dyDescent="0.25">
      <c r="A1038" s="1">
        <v>477</v>
      </c>
      <c r="B1038" s="1">
        <v>1</v>
      </c>
      <c r="C1038" s="1" t="s">
        <v>27</v>
      </c>
      <c r="D1038" s="1" t="s">
        <v>106</v>
      </c>
      <c r="E1038" s="1">
        <v>1</v>
      </c>
      <c r="F1038" s="58">
        <v>7000</v>
      </c>
      <c r="G1038" s="58">
        <v>7000</v>
      </c>
    </row>
    <row r="1039" spans="1:7" x14ac:dyDescent="0.25">
      <c r="A1039" s="1">
        <v>478</v>
      </c>
      <c r="B1039" s="1">
        <v>1</v>
      </c>
      <c r="C1039" s="1" t="s">
        <v>31</v>
      </c>
      <c r="D1039" s="1" t="s">
        <v>109</v>
      </c>
      <c r="E1039" s="1">
        <v>1</v>
      </c>
      <c r="F1039" s="58">
        <v>6000</v>
      </c>
      <c r="G1039" s="58">
        <v>6000</v>
      </c>
    </row>
    <row r="1040" spans="1:7" x14ac:dyDescent="0.25">
      <c r="A1040" s="1">
        <v>479</v>
      </c>
      <c r="B1040" s="1">
        <v>1</v>
      </c>
      <c r="C1040" s="1" t="s">
        <v>190</v>
      </c>
      <c r="D1040" s="1" t="s">
        <v>184</v>
      </c>
      <c r="E1040" s="1">
        <v>1</v>
      </c>
      <c r="F1040" s="58">
        <v>6000</v>
      </c>
      <c r="G1040" s="58">
        <v>6000</v>
      </c>
    </row>
    <row r="1041" spans="1:7" x14ac:dyDescent="0.25">
      <c r="A1041" s="1">
        <v>480</v>
      </c>
      <c r="B1041" s="1">
        <v>1</v>
      </c>
      <c r="C1041" s="1" t="s">
        <v>10</v>
      </c>
      <c r="D1041" s="1" t="s">
        <v>15</v>
      </c>
      <c r="E1041" s="1">
        <v>1</v>
      </c>
      <c r="F1041" s="58">
        <v>10000</v>
      </c>
      <c r="G1041" s="58">
        <v>10000</v>
      </c>
    </row>
    <row r="1042" spans="1:7" x14ac:dyDescent="0.25">
      <c r="A1042" s="1">
        <v>480</v>
      </c>
      <c r="B1042" s="1">
        <v>2</v>
      </c>
      <c r="C1042" s="1" t="s">
        <v>112</v>
      </c>
      <c r="D1042" s="1" t="s">
        <v>114</v>
      </c>
      <c r="E1042" s="1">
        <v>1</v>
      </c>
      <c r="F1042" s="58">
        <v>6000</v>
      </c>
      <c r="G1042" s="58">
        <v>6000</v>
      </c>
    </row>
    <row r="1043" spans="1:7" x14ac:dyDescent="0.25">
      <c r="A1043" s="1">
        <v>480</v>
      </c>
      <c r="B1043" s="1">
        <v>3</v>
      </c>
      <c r="C1043" s="1" t="s">
        <v>21</v>
      </c>
      <c r="D1043" s="1" t="s">
        <v>5</v>
      </c>
      <c r="E1043" s="1">
        <v>1</v>
      </c>
      <c r="F1043" s="58">
        <v>3000</v>
      </c>
      <c r="G1043" s="58">
        <v>3000</v>
      </c>
    </row>
    <row r="1044" spans="1:7" x14ac:dyDescent="0.25">
      <c r="A1044" s="1">
        <v>483</v>
      </c>
      <c r="B1044" s="1">
        <v>1</v>
      </c>
      <c r="C1044" s="1" t="s">
        <v>21</v>
      </c>
      <c r="D1044" s="1" t="s">
        <v>5</v>
      </c>
      <c r="E1044" s="1">
        <v>1</v>
      </c>
      <c r="F1044" s="58">
        <v>3000</v>
      </c>
      <c r="G1044" s="58">
        <v>3000</v>
      </c>
    </row>
    <row r="1045" spans="1:7" x14ac:dyDescent="0.25">
      <c r="A1045" s="1">
        <v>482</v>
      </c>
      <c r="B1045" s="1">
        <v>1</v>
      </c>
      <c r="C1045" s="1" t="s">
        <v>302</v>
      </c>
      <c r="D1045" s="1" t="s">
        <v>161</v>
      </c>
      <c r="E1045" s="1">
        <v>1</v>
      </c>
      <c r="F1045" s="58">
        <v>1200</v>
      </c>
      <c r="G1045" s="58">
        <v>1200</v>
      </c>
    </row>
    <row r="1046" spans="1:7" x14ac:dyDescent="0.25">
      <c r="A1046" s="1">
        <v>482</v>
      </c>
      <c r="B1046" s="1">
        <v>2</v>
      </c>
      <c r="C1046" s="1" t="s">
        <v>21</v>
      </c>
      <c r="D1046" s="1" t="s">
        <v>5</v>
      </c>
      <c r="E1046" s="1">
        <v>2</v>
      </c>
      <c r="F1046" s="58">
        <v>3000</v>
      </c>
      <c r="G1046" s="58">
        <v>6000</v>
      </c>
    </row>
    <row r="1047" spans="1:7" x14ac:dyDescent="0.25">
      <c r="A1047" s="1">
        <v>482</v>
      </c>
      <c r="B1047" s="1">
        <v>3</v>
      </c>
      <c r="C1047" s="1" t="s">
        <v>158</v>
      </c>
      <c r="D1047" s="1" t="s">
        <v>159</v>
      </c>
      <c r="E1047" s="1">
        <v>2</v>
      </c>
      <c r="F1047" s="58">
        <v>1400</v>
      </c>
      <c r="G1047" s="58">
        <v>2800</v>
      </c>
    </row>
    <row r="1048" spans="1:7" x14ac:dyDescent="0.25">
      <c r="A1048" s="1">
        <v>481</v>
      </c>
      <c r="B1048" s="1">
        <v>1</v>
      </c>
      <c r="C1048" s="1" t="s">
        <v>21</v>
      </c>
      <c r="D1048" s="1" t="s">
        <v>5</v>
      </c>
      <c r="E1048" s="1">
        <v>3</v>
      </c>
      <c r="F1048" s="58">
        <v>3000</v>
      </c>
      <c r="G1048" s="58">
        <v>9000</v>
      </c>
    </row>
    <row r="1049" spans="1:7" x14ac:dyDescent="0.25">
      <c r="A1049" s="1">
        <v>484</v>
      </c>
      <c r="B1049" s="1">
        <v>1</v>
      </c>
      <c r="C1049" s="1" t="s">
        <v>110</v>
      </c>
      <c r="D1049" s="1" t="s">
        <v>115</v>
      </c>
      <c r="E1049" s="1">
        <v>1</v>
      </c>
      <c r="F1049" s="58">
        <v>6000</v>
      </c>
      <c r="G1049" s="58">
        <v>6000</v>
      </c>
    </row>
    <row r="1050" spans="1:7" x14ac:dyDescent="0.25">
      <c r="A1050" s="1">
        <v>484</v>
      </c>
      <c r="B1050" s="1">
        <v>2</v>
      </c>
      <c r="C1050" s="1" t="s">
        <v>65</v>
      </c>
      <c r="D1050" s="1" t="s">
        <v>16</v>
      </c>
      <c r="E1050" s="1">
        <v>2</v>
      </c>
      <c r="F1050" s="58">
        <v>10000</v>
      </c>
      <c r="G1050" s="58">
        <v>20000</v>
      </c>
    </row>
    <row r="1051" spans="1:7" x14ac:dyDescent="0.25">
      <c r="A1051" s="1">
        <v>484</v>
      </c>
      <c r="B1051" s="1">
        <v>3</v>
      </c>
      <c r="C1051" s="1" t="s">
        <v>28</v>
      </c>
      <c r="D1051" s="1" t="s">
        <v>107</v>
      </c>
      <c r="E1051" s="1">
        <v>1</v>
      </c>
      <c r="F1051" s="58">
        <v>6000</v>
      </c>
      <c r="G1051" s="58">
        <v>6000</v>
      </c>
    </row>
    <row r="1052" spans="1:7" x14ac:dyDescent="0.25">
      <c r="A1052" s="1">
        <v>485</v>
      </c>
      <c r="B1052" s="1">
        <v>1</v>
      </c>
      <c r="C1052" s="1" t="s">
        <v>65</v>
      </c>
      <c r="D1052" s="1" t="s">
        <v>16</v>
      </c>
      <c r="E1052" s="1">
        <v>1</v>
      </c>
      <c r="F1052" s="58">
        <v>10000</v>
      </c>
      <c r="G1052" s="58">
        <v>10000</v>
      </c>
    </row>
    <row r="1053" spans="1:7" x14ac:dyDescent="0.25">
      <c r="A1053" s="1">
        <v>485</v>
      </c>
      <c r="B1053" s="1">
        <v>2</v>
      </c>
      <c r="C1053" s="1" t="s">
        <v>10</v>
      </c>
      <c r="D1053" s="1" t="s">
        <v>15</v>
      </c>
      <c r="E1053" s="1">
        <v>1</v>
      </c>
      <c r="F1053" s="58">
        <v>10000</v>
      </c>
      <c r="G1053" s="58">
        <v>10000</v>
      </c>
    </row>
    <row r="1054" spans="1:7" x14ac:dyDescent="0.25">
      <c r="A1054" s="1">
        <v>485</v>
      </c>
      <c r="B1054" s="1">
        <v>3</v>
      </c>
      <c r="C1054" s="1" t="s">
        <v>110</v>
      </c>
      <c r="D1054" s="1" t="s">
        <v>115</v>
      </c>
      <c r="E1054" s="1">
        <v>2</v>
      </c>
      <c r="F1054" s="58">
        <v>6000</v>
      </c>
      <c r="G1054" s="58">
        <v>12000</v>
      </c>
    </row>
    <row r="1055" spans="1:7" x14ac:dyDescent="0.25">
      <c r="A1055" s="1">
        <v>487</v>
      </c>
      <c r="B1055" s="1">
        <v>1</v>
      </c>
      <c r="C1055" s="1" t="s">
        <v>65</v>
      </c>
      <c r="D1055" s="1" t="s">
        <v>16</v>
      </c>
      <c r="E1055" s="1">
        <v>2</v>
      </c>
      <c r="F1055" s="58">
        <v>10000</v>
      </c>
      <c r="G1055" s="58">
        <v>20000</v>
      </c>
    </row>
    <row r="1056" spans="1:7" x14ac:dyDescent="0.25">
      <c r="A1056" s="1">
        <v>488</v>
      </c>
      <c r="B1056" s="1">
        <v>1</v>
      </c>
      <c r="C1056" s="1" t="s">
        <v>22</v>
      </c>
      <c r="D1056" s="1" t="s">
        <v>104</v>
      </c>
      <c r="E1056" s="1">
        <v>1</v>
      </c>
      <c r="F1056" s="58">
        <v>7000</v>
      </c>
      <c r="G1056" s="58">
        <v>7000</v>
      </c>
    </row>
    <row r="1057" spans="1:7" x14ac:dyDescent="0.25">
      <c r="A1057" s="1">
        <v>488</v>
      </c>
      <c r="B1057" s="1">
        <v>2</v>
      </c>
      <c r="C1057" s="1" t="s">
        <v>27</v>
      </c>
      <c r="D1057" s="1" t="s">
        <v>106</v>
      </c>
      <c r="E1057" s="1">
        <v>1</v>
      </c>
      <c r="F1057" s="58">
        <v>7000</v>
      </c>
      <c r="G1057" s="58">
        <v>7000</v>
      </c>
    </row>
    <row r="1058" spans="1:7" x14ac:dyDescent="0.25">
      <c r="A1058" s="1">
        <v>489</v>
      </c>
      <c r="B1058" s="1">
        <v>1</v>
      </c>
      <c r="C1058" s="1" t="s">
        <v>31</v>
      </c>
      <c r="D1058" s="1" t="s">
        <v>109</v>
      </c>
      <c r="E1058" s="1">
        <v>1</v>
      </c>
      <c r="F1058" s="58">
        <v>6000</v>
      </c>
      <c r="G1058" s="58">
        <v>6000</v>
      </c>
    </row>
    <row r="1059" spans="1:7" x14ac:dyDescent="0.25">
      <c r="A1059" s="1">
        <v>486</v>
      </c>
      <c r="B1059" s="1">
        <v>1</v>
      </c>
      <c r="C1059" s="1" t="s">
        <v>182</v>
      </c>
      <c r="D1059" s="1" t="s">
        <v>183</v>
      </c>
      <c r="E1059" s="1">
        <v>2</v>
      </c>
      <c r="F1059" s="58">
        <v>9000</v>
      </c>
      <c r="G1059" s="58">
        <v>18000</v>
      </c>
    </row>
    <row r="1060" spans="1:7" x14ac:dyDescent="0.25">
      <c r="A1060" s="1">
        <v>486</v>
      </c>
      <c r="B1060" s="1">
        <v>2</v>
      </c>
      <c r="C1060" s="1" t="s">
        <v>65</v>
      </c>
      <c r="D1060" s="1" t="s">
        <v>16</v>
      </c>
      <c r="E1060" s="1">
        <v>1</v>
      </c>
      <c r="F1060" s="58">
        <v>10000</v>
      </c>
      <c r="G1060" s="58">
        <v>10000</v>
      </c>
    </row>
    <row r="1061" spans="1:7" x14ac:dyDescent="0.25">
      <c r="A1061" s="1">
        <v>481</v>
      </c>
      <c r="B1061" s="1">
        <v>1</v>
      </c>
      <c r="C1061" s="1" t="s">
        <v>21</v>
      </c>
      <c r="D1061" s="1" t="s">
        <v>5</v>
      </c>
      <c r="E1061" s="1">
        <v>3</v>
      </c>
      <c r="F1061" s="58">
        <v>3000</v>
      </c>
      <c r="G1061" s="58">
        <v>9000</v>
      </c>
    </row>
    <row r="1062" spans="1:7" x14ac:dyDescent="0.25">
      <c r="A1062" s="1">
        <v>481</v>
      </c>
      <c r="B1062" s="1">
        <v>2</v>
      </c>
      <c r="C1062" s="1" t="s">
        <v>22</v>
      </c>
      <c r="D1062" s="1" t="s">
        <v>104</v>
      </c>
      <c r="E1062" s="1">
        <v>1</v>
      </c>
      <c r="F1062" s="58">
        <v>7000</v>
      </c>
      <c r="G1062" s="58">
        <v>7000</v>
      </c>
    </row>
    <row r="1063" spans="1:7" x14ac:dyDescent="0.25">
      <c r="A1063" s="1">
        <v>490</v>
      </c>
      <c r="B1063" s="1">
        <v>1</v>
      </c>
      <c r="C1063" s="1" t="s">
        <v>28</v>
      </c>
      <c r="D1063" s="1" t="s">
        <v>107</v>
      </c>
      <c r="E1063" s="1">
        <v>3</v>
      </c>
      <c r="F1063" s="58">
        <v>6000</v>
      </c>
      <c r="G1063" s="58">
        <v>18000</v>
      </c>
    </row>
    <row r="1064" spans="1:7" x14ac:dyDescent="0.25">
      <c r="A1064" s="1">
        <v>491</v>
      </c>
      <c r="B1064" s="1">
        <v>1</v>
      </c>
      <c r="C1064" s="1" t="s">
        <v>22</v>
      </c>
      <c r="D1064" s="1" t="s">
        <v>104</v>
      </c>
      <c r="E1064" s="1">
        <v>2</v>
      </c>
      <c r="F1064" s="58">
        <v>7000</v>
      </c>
      <c r="G1064" s="58">
        <v>14000</v>
      </c>
    </row>
    <row r="1065" spans="1:7" x14ac:dyDescent="0.25">
      <c r="A1065" s="1">
        <v>492</v>
      </c>
      <c r="B1065" s="1">
        <v>1</v>
      </c>
      <c r="C1065" s="1" t="s">
        <v>631</v>
      </c>
      <c r="D1065" s="1" t="s">
        <v>632</v>
      </c>
      <c r="E1065" s="1">
        <v>2</v>
      </c>
      <c r="F1065" s="58">
        <v>13000</v>
      </c>
      <c r="G1065" s="58">
        <v>26000</v>
      </c>
    </row>
    <row r="1066" spans="1:7" x14ac:dyDescent="0.25">
      <c r="A1066" s="1">
        <v>493</v>
      </c>
      <c r="B1066" s="1">
        <v>1</v>
      </c>
      <c r="C1066" s="1" t="s">
        <v>112</v>
      </c>
      <c r="D1066" s="1" t="s">
        <v>114</v>
      </c>
      <c r="E1066" s="1">
        <v>2</v>
      </c>
      <c r="F1066" s="58">
        <v>6000</v>
      </c>
      <c r="G1066" s="58">
        <v>12000</v>
      </c>
    </row>
    <row r="1067" spans="1:7" ht="30" x14ac:dyDescent="0.25">
      <c r="A1067" s="1">
        <v>493</v>
      </c>
      <c r="B1067" s="1">
        <v>2</v>
      </c>
      <c r="C1067" s="1" t="s">
        <v>113</v>
      </c>
      <c r="D1067" s="1" t="s">
        <v>171</v>
      </c>
      <c r="E1067" s="1">
        <v>1</v>
      </c>
      <c r="F1067" s="58">
        <v>6000</v>
      </c>
      <c r="G1067" s="58">
        <v>6000</v>
      </c>
    </row>
    <row r="1068" spans="1:7" x14ac:dyDescent="0.25">
      <c r="A1068" s="1">
        <v>494</v>
      </c>
      <c r="B1068" s="1">
        <v>1</v>
      </c>
      <c r="C1068" s="1" t="s">
        <v>130</v>
      </c>
      <c r="D1068" s="1" t="s">
        <v>132</v>
      </c>
      <c r="E1068" s="1">
        <v>2</v>
      </c>
      <c r="F1068" s="58">
        <v>12000</v>
      </c>
      <c r="G1068" s="58">
        <v>24000</v>
      </c>
    </row>
    <row r="1069" spans="1:7" x14ac:dyDescent="0.25">
      <c r="A1069" s="1">
        <v>494</v>
      </c>
      <c r="B1069" s="1">
        <v>2</v>
      </c>
      <c r="C1069" s="1" t="s">
        <v>158</v>
      </c>
      <c r="D1069" s="1" t="s">
        <v>159</v>
      </c>
      <c r="E1069" s="1">
        <v>2</v>
      </c>
      <c r="F1069" s="58">
        <v>1400</v>
      </c>
      <c r="G1069" s="58">
        <v>2800</v>
      </c>
    </row>
    <row r="1070" spans="1:7" x14ac:dyDescent="0.25">
      <c r="A1070" s="1">
        <v>495</v>
      </c>
      <c r="B1070" s="1">
        <v>1</v>
      </c>
      <c r="C1070" s="1" t="s">
        <v>28</v>
      </c>
      <c r="D1070" s="1" t="s">
        <v>107</v>
      </c>
      <c r="E1070" s="1">
        <v>1</v>
      </c>
      <c r="F1070" s="58">
        <v>6000</v>
      </c>
      <c r="G1070" s="58">
        <v>6000</v>
      </c>
    </row>
    <row r="1071" spans="1:7" x14ac:dyDescent="0.25">
      <c r="A1071" s="1">
        <v>496</v>
      </c>
      <c r="B1071" s="1">
        <v>1</v>
      </c>
      <c r="C1071" s="1" t="s">
        <v>21</v>
      </c>
      <c r="D1071" s="1" t="s">
        <v>5</v>
      </c>
      <c r="E1071" s="1">
        <v>1</v>
      </c>
      <c r="F1071" s="58">
        <v>3000</v>
      </c>
      <c r="G1071" s="58">
        <v>3000</v>
      </c>
    </row>
    <row r="1072" spans="1:7" x14ac:dyDescent="0.25">
      <c r="A1072" s="1">
        <v>497</v>
      </c>
      <c r="B1072" s="1">
        <v>1</v>
      </c>
      <c r="C1072" s="1" t="s">
        <v>65</v>
      </c>
      <c r="D1072" s="1" t="s">
        <v>16</v>
      </c>
      <c r="E1072" s="1">
        <v>1</v>
      </c>
      <c r="F1072" s="58">
        <v>10000</v>
      </c>
      <c r="G1072" s="58">
        <v>10000</v>
      </c>
    </row>
    <row r="1073" spans="1:7" x14ac:dyDescent="0.25">
      <c r="A1073" s="1">
        <v>499</v>
      </c>
      <c r="B1073" s="1">
        <v>1</v>
      </c>
      <c r="C1073" s="1" t="s">
        <v>21</v>
      </c>
      <c r="D1073" s="1" t="s">
        <v>5</v>
      </c>
      <c r="E1073" s="1">
        <v>1</v>
      </c>
      <c r="F1073" s="58">
        <v>3000</v>
      </c>
      <c r="G1073" s="58">
        <v>3000</v>
      </c>
    </row>
    <row r="1074" spans="1:7" ht="30" x14ac:dyDescent="0.25">
      <c r="A1074" s="1">
        <v>499</v>
      </c>
      <c r="B1074" s="1">
        <v>2</v>
      </c>
      <c r="C1074" s="1" t="s">
        <v>113</v>
      </c>
      <c r="D1074" s="1" t="s">
        <v>171</v>
      </c>
      <c r="E1074" s="1">
        <v>1</v>
      </c>
      <c r="F1074" s="58">
        <v>6000</v>
      </c>
      <c r="G1074" s="58">
        <v>6000</v>
      </c>
    </row>
    <row r="1075" spans="1:7" x14ac:dyDescent="0.25">
      <c r="A1075" s="1">
        <v>501</v>
      </c>
      <c r="B1075" s="1">
        <v>1</v>
      </c>
      <c r="C1075" s="1" t="s">
        <v>164</v>
      </c>
      <c r="D1075" s="1" t="s">
        <v>165</v>
      </c>
      <c r="E1075" s="1">
        <v>1</v>
      </c>
      <c r="F1075" s="58">
        <v>4000</v>
      </c>
      <c r="G1075" s="58">
        <v>4000</v>
      </c>
    </row>
    <row r="1076" spans="1:7" x14ac:dyDescent="0.25">
      <c r="A1076" s="1">
        <v>503</v>
      </c>
      <c r="B1076" s="1">
        <v>1</v>
      </c>
      <c r="C1076" s="1" t="s">
        <v>112</v>
      </c>
      <c r="D1076" s="1" t="s">
        <v>114</v>
      </c>
      <c r="E1076" s="1">
        <v>1</v>
      </c>
      <c r="F1076" s="58">
        <v>6000</v>
      </c>
      <c r="G1076" s="58">
        <v>6000</v>
      </c>
    </row>
    <row r="1077" spans="1:7" x14ac:dyDescent="0.25">
      <c r="A1077" s="1">
        <v>508</v>
      </c>
      <c r="B1077" s="1">
        <v>1</v>
      </c>
      <c r="C1077" s="1" t="s">
        <v>21</v>
      </c>
      <c r="D1077" s="1" t="s">
        <v>5</v>
      </c>
      <c r="E1077" s="1">
        <v>1</v>
      </c>
      <c r="F1077" s="58">
        <v>3000</v>
      </c>
      <c r="G1077" s="58">
        <v>3000</v>
      </c>
    </row>
    <row r="1078" spans="1:7" x14ac:dyDescent="0.25">
      <c r="A1078" s="1">
        <v>509</v>
      </c>
      <c r="B1078" s="1">
        <v>1</v>
      </c>
      <c r="C1078" s="1" t="s">
        <v>182</v>
      </c>
      <c r="D1078" s="1" t="s">
        <v>183</v>
      </c>
      <c r="E1078" s="1">
        <v>1</v>
      </c>
      <c r="F1078" s="58">
        <v>9000</v>
      </c>
      <c r="G1078" s="58">
        <v>9000</v>
      </c>
    </row>
    <row r="1079" spans="1:7" x14ac:dyDescent="0.25">
      <c r="A1079" s="1">
        <v>510</v>
      </c>
      <c r="B1079" s="1">
        <v>1</v>
      </c>
      <c r="C1079" s="1" t="s">
        <v>10</v>
      </c>
      <c r="D1079" s="1" t="s">
        <v>15</v>
      </c>
      <c r="E1079" s="1">
        <v>1</v>
      </c>
      <c r="F1079" s="58">
        <v>10000</v>
      </c>
      <c r="G1079" s="58">
        <v>10000</v>
      </c>
    </row>
    <row r="1080" spans="1:7" x14ac:dyDescent="0.25">
      <c r="A1080" s="1">
        <v>505</v>
      </c>
      <c r="B1080" s="1">
        <v>1</v>
      </c>
      <c r="C1080" s="1" t="s">
        <v>21</v>
      </c>
      <c r="D1080" s="1" t="s">
        <v>5</v>
      </c>
      <c r="E1080" s="1">
        <v>2</v>
      </c>
      <c r="F1080" s="58">
        <v>3000</v>
      </c>
      <c r="G1080" s="58">
        <v>6000</v>
      </c>
    </row>
    <row r="1081" spans="1:7" x14ac:dyDescent="0.25">
      <c r="A1081" s="1">
        <v>505</v>
      </c>
      <c r="B1081" s="1">
        <v>2</v>
      </c>
      <c r="C1081" s="1" t="s">
        <v>182</v>
      </c>
      <c r="D1081" s="1" t="s">
        <v>183</v>
      </c>
      <c r="E1081" s="1">
        <v>1</v>
      </c>
      <c r="F1081" s="58">
        <v>9000</v>
      </c>
      <c r="G1081" s="58">
        <v>9000</v>
      </c>
    </row>
    <row r="1082" spans="1:7" x14ac:dyDescent="0.25">
      <c r="A1082" s="1">
        <v>505</v>
      </c>
      <c r="B1082" s="1">
        <v>3</v>
      </c>
      <c r="C1082" s="1" t="s">
        <v>302</v>
      </c>
      <c r="D1082" s="1" t="s">
        <v>161</v>
      </c>
      <c r="E1082" s="1">
        <v>1</v>
      </c>
      <c r="F1082" s="58">
        <v>1200</v>
      </c>
      <c r="G1082" s="58">
        <v>1200</v>
      </c>
    </row>
    <row r="1083" spans="1:7" x14ac:dyDescent="0.25">
      <c r="A1083" s="1">
        <v>514</v>
      </c>
      <c r="B1083" s="1">
        <v>1</v>
      </c>
      <c r="C1083" s="1" t="s">
        <v>110</v>
      </c>
      <c r="D1083" s="1" t="s">
        <v>115</v>
      </c>
      <c r="E1083" s="1">
        <v>1</v>
      </c>
      <c r="F1083" s="58">
        <v>6000</v>
      </c>
      <c r="G1083" s="58">
        <v>6000</v>
      </c>
    </row>
    <row r="1084" spans="1:7" x14ac:dyDescent="0.25">
      <c r="A1084" s="1">
        <v>514</v>
      </c>
      <c r="B1084" s="1">
        <v>2</v>
      </c>
      <c r="C1084" s="1" t="s">
        <v>31</v>
      </c>
      <c r="D1084" s="1" t="s">
        <v>109</v>
      </c>
      <c r="E1084" s="1">
        <v>1</v>
      </c>
      <c r="F1084" s="58">
        <v>6000</v>
      </c>
      <c r="G1084" s="58">
        <v>6000</v>
      </c>
    </row>
    <row r="1085" spans="1:7" x14ac:dyDescent="0.25">
      <c r="A1085" s="1">
        <v>515</v>
      </c>
      <c r="B1085" s="1">
        <v>1</v>
      </c>
      <c r="C1085" s="1" t="s">
        <v>110</v>
      </c>
      <c r="D1085" s="1" t="s">
        <v>115</v>
      </c>
      <c r="E1085" s="1">
        <v>1</v>
      </c>
      <c r="F1085" s="58">
        <v>6000</v>
      </c>
      <c r="G1085" s="58">
        <v>6000</v>
      </c>
    </row>
    <row r="1086" spans="1:7" x14ac:dyDescent="0.25">
      <c r="A1086" s="1">
        <v>516</v>
      </c>
      <c r="B1086" s="1">
        <v>1</v>
      </c>
      <c r="C1086" s="1" t="s">
        <v>10</v>
      </c>
      <c r="D1086" s="1" t="s">
        <v>15</v>
      </c>
      <c r="E1086" s="1">
        <v>1</v>
      </c>
      <c r="F1086" s="58">
        <v>10000</v>
      </c>
      <c r="G1086" s="58">
        <v>10000</v>
      </c>
    </row>
    <row r="1087" spans="1:7" x14ac:dyDescent="0.25">
      <c r="A1087" s="1">
        <v>506</v>
      </c>
      <c r="B1087" s="1">
        <v>1</v>
      </c>
      <c r="C1087" s="1" t="s">
        <v>158</v>
      </c>
      <c r="D1087" s="1" t="s">
        <v>159</v>
      </c>
      <c r="E1087" s="1">
        <v>2</v>
      </c>
      <c r="F1087" s="58">
        <v>1400</v>
      </c>
      <c r="G1087" s="58">
        <v>2800</v>
      </c>
    </row>
    <row r="1088" spans="1:7" x14ac:dyDescent="0.25">
      <c r="A1088" s="1">
        <v>506</v>
      </c>
      <c r="B1088" s="1">
        <v>2</v>
      </c>
      <c r="C1088" s="1" t="s">
        <v>182</v>
      </c>
      <c r="D1088" s="1" t="s">
        <v>183</v>
      </c>
      <c r="E1088" s="1">
        <v>2</v>
      </c>
      <c r="F1088" s="58">
        <v>9000</v>
      </c>
      <c r="G1088" s="58">
        <v>18000</v>
      </c>
    </row>
    <row r="1089" spans="1:7" x14ac:dyDescent="0.25">
      <c r="A1089" s="1">
        <v>506</v>
      </c>
      <c r="B1089" s="1">
        <v>3</v>
      </c>
      <c r="C1089" s="1" t="s">
        <v>302</v>
      </c>
      <c r="D1089" s="1" t="s">
        <v>161</v>
      </c>
      <c r="E1089" s="1">
        <v>1</v>
      </c>
      <c r="F1089" s="58">
        <v>1200</v>
      </c>
      <c r="G1089" s="58">
        <v>1200</v>
      </c>
    </row>
    <row r="1090" spans="1:7" x14ac:dyDescent="0.25">
      <c r="A1090" s="1">
        <v>506</v>
      </c>
      <c r="B1090" s="1">
        <v>4</v>
      </c>
      <c r="C1090" s="1" t="s">
        <v>65</v>
      </c>
      <c r="D1090" s="1" t="s">
        <v>16</v>
      </c>
      <c r="E1090" s="1">
        <v>1</v>
      </c>
      <c r="F1090" s="58">
        <v>10000</v>
      </c>
      <c r="G1090" s="58">
        <v>10000</v>
      </c>
    </row>
    <row r="1091" spans="1:7" x14ac:dyDescent="0.25">
      <c r="A1091" s="1">
        <v>517</v>
      </c>
      <c r="B1091" s="1">
        <v>1</v>
      </c>
      <c r="C1091" s="1" t="s">
        <v>10</v>
      </c>
      <c r="D1091" s="1" t="s">
        <v>15</v>
      </c>
      <c r="E1091" s="1">
        <v>1</v>
      </c>
      <c r="F1091" s="58">
        <v>10000</v>
      </c>
      <c r="G1091" s="58">
        <v>10000</v>
      </c>
    </row>
    <row r="1092" spans="1:7" x14ac:dyDescent="0.25">
      <c r="A1092" s="1">
        <v>507</v>
      </c>
      <c r="B1092" s="1">
        <v>1</v>
      </c>
      <c r="C1092" s="1" t="s">
        <v>28</v>
      </c>
      <c r="D1092" s="1" t="s">
        <v>107</v>
      </c>
      <c r="E1092" s="1">
        <v>7</v>
      </c>
      <c r="F1092" s="58">
        <v>6000</v>
      </c>
      <c r="G1092" s="58">
        <v>42000</v>
      </c>
    </row>
    <row r="1093" spans="1:7" x14ac:dyDescent="0.25">
      <c r="A1093" s="1">
        <v>507</v>
      </c>
      <c r="B1093" s="1">
        <v>2</v>
      </c>
      <c r="C1093" s="1" t="s">
        <v>65</v>
      </c>
      <c r="D1093" s="1" t="s">
        <v>16</v>
      </c>
      <c r="E1093" s="1">
        <v>1</v>
      </c>
      <c r="F1093" s="58">
        <v>10000</v>
      </c>
      <c r="G1093" s="58">
        <v>10000</v>
      </c>
    </row>
    <row r="1094" spans="1:7" x14ac:dyDescent="0.25">
      <c r="A1094" s="1">
        <v>518</v>
      </c>
      <c r="B1094" s="1">
        <v>1</v>
      </c>
      <c r="C1094" s="1" t="s">
        <v>127</v>
      </c>
      <c r="D1094" s="1" t="s">
        <v>128</v>
      </c>
      <c r="E1094" s="1">
        <v>1</v>
      </c>
      <c r="F1094" s="58">
        <v>4000</v>
      </c>
      <c r="G1094" s="58">
        <v>4000</v>
      </c>
    </row>
    <row r="1095" spans="1:7" x14ac:dyDescent="0.25">
      <c r="A1095" s="1">
        <v>518</v>
      </c>
      <c r="B1095" s="1">
        <v>2</v>
      </c>
      <c r="C1095" s="1" t="s">
        <v>164</v>
      </c>
      <c r="D1095" s="1" t="s">
        <v>165</v>
      </c>
      <c r="E1095" s="1">
        <v>1</v>
      </c>
      <c r="F1095" s="58">
        <v>4000</v>
      </c>
      <c r="G1095" s="58">
        <v>4000</v>
      </c>
    </row>
    <row r="1096" spans="1:7" x14ac:dyDescent="0.25">
      <c r="A1096" s="1">
        <v>513</v>
      </c>
      <c r="B1096" s="1">
        <v>1</v>
      </c>
      <c r="C1096" s="1" t="s">
        <v>23</v>
      </c>
      <c r="D1096" s="1" t="s">
        <v>13</v>
      </c>
      <c r="E1096" s="1">
        <v>1</v>
      </c>
      <c r="F1096" s="58">
        <v>9000</v>
      </c>
      <c r="G1096" s="58">
        <v>9000</v>
      </c>
    </row>
    <row r="1097" spans="1:7" x14ac:dyDescent="0.25">
      <c r="A1097" s="1">
        <v>513</v>
      </c>
      <c r="B1097" s="1">
        <v>2</v>
      </c>
      <c r="C1097" s="1" t="s">
        <v>164</v>
      </c>
      <c r="D1097" s="1" t="s">
        <v>165</v>
      </c>
      <c r="E1097" s="1">
        <v>1</v>
      </c>
      <c r="F1097" s="58">
        <v>4000</v>
      </c>
      <c r="G1097" s="58">
        <v>4000</v>
      </c>
    </row>
    <row r="1098" spans="1:7" x14ac:dyDescent="0.25">
      <c r="A1098" s="1">
        <v>512</v>
      </c>
      <c r="B1098" s="1">
        <v>1</v>
      </c>
      <c r="C1098" s="1" t="s">
        <v>10</v>
      </c>
      <c r="D1098" s="1" t="s">
        <v>15</v>
      </c>
      <c r="E1098" s="1">
        <v>1</v>
      </c>
      <c r="F1098" s="58">
        <v>10000</v>
      </c>
      <c r="G1098" s="58">
        <v>10000</v>
      </c>
    </row>
    <row r="1099" spans="1:7" x14ac:dyDescent="0.25">
      <c r="A1099" s="1">
        <v>512</v>
      </c>
      <c r="B1099" s="1">
        <v>2</v>
      </c>
      <c r="C1099" s="1" t="s">
        <v>28</v>
      </c>
      <c r="D1099" s="1" t="s">
        <v>107</v>
      </c>
      <c r="E1099" s="1">
        <v>2</v>
      </c>
      <c r="F1099" s="58">
        <v>6000</v>
      </c>
      <c r="G1099" s="58">
        <v>12000</v>
      </c>
    </row>
    <row r="1100" spans="1:7" x14ac:dyDescent="0.25">
      <c r="A1100" s="1">
        <v>512</v>
      </c>
      <c r="B1100" s="1">
        <v>3</v>
      </c>
      <c r="C1100" s="1" t="s">
        <v>25</v>
      </c>
      <c r="D1100" s="1" t="s">
        <v>12</v>
      </c>
      <c r="E1100" s="1">
        <v>1</v>
      </c>
      <c r="F1100" s="58">
        <v>12000</v>
      </c>
      <c r="G1100" s="58">
        <v>12000</v>
      </c>
    </row>
    <row r="1101" spans="1:7" x14ac:dyDescent="0.25">
      <c r="A1101" s="1">
        <v>519</v>
      </c>
      <c r="B1101" s="1">
        <v>1</v>
      </c>
      <c r="C1101" s="1" t="s">
        <v>110</v>
      </c>
      <c r="D1101" s="1" t="s">
        <v>115</v>
      </c>
      <c r="E1101" s="1">
        <v>1</v>
      </c>
      <c r="F1101" s="58">
        <v>6000</v>
      </c>
      <c r="G1101" s="58">
        <v>6000</v>
      </c>
    </row>
    <row r="1102" spans="1:7" x14ac:dyDescent="0.25">
      <c r="A1102" s="1">
        <v>520</v>
      </c>
      <c r="B1102" s="1">
        <v>1</v>
      </c>
      <c r="C1102" s="1" t="s">
        <v>25</v>
      </c>
      <c r="D1102" s="1" t="s">
        <v>12</v>
      </c>
      <c r="E1102" s="1">
        <v>1</v>
      </c>
      <c r="F1102" s="58">
        <v>12000</v>
      </c>
      <c r="G1102" s="58">
        <v>12000</v>
      </c>
    </row>
    <row r="1103" spans="1:7" x14ac:dyDescent="0.25">
      <c r="A1103" s="1">
        <v>521</v>
      </c>
      <c r="B1103" s="1">
        <v>1</v>
      </c>
      <c r="C1103" s="1" t="s">
        <v>28</v>
      </c>
      <c r="D1103" s="1" t="s">
        <v>107</v>
      </c>
      <c r="E1103" s="1">
        <v>1</v>
      </c>
      <c r="F1103" s="58">
        <v>6000</v>
      </c>
      <c r="G1103" s="58">
        <v>6000</v>
      </c>
    </row>
    <row r="1104" spans="1:7" x14ac:dyDescent="0.25">
      <c r="A1104" s="1">
        <v>498</v>
      </c>
      <c r="B1104" s="1">
        <v>1</v>
      </c>
      <c r="C1104" s="1" t="s">
        <v>10</v>
      </c>
      <c r="D1104" s="1" t="s">
        <v>15</v>
      </c>
      <c r="E1104" s="1">
        <v>2</v>
      </c>
      <c r="F1104" s="58">
        <v>10000</v>
      </c>
      <c r="G1104" s="58">
        <v>20000</v>
      </c>
    </row>
    <row r="1105" spans="1:7" x14ac:dyDescent="0.25">
      <c r="A1105" s="1">
        <v>498</v>
      </c>
      <c r="B1105" s="1">
        <v>2</v>
      </c>
      <c r="C1105" s="1" t="s">
        <v>65</v>
      </c>
      <c r="D1105" s="1" t="s">
        <v>16</v>
      </c>
      <c r="E1105" s="1">
        <v>1</v>
      </c>
      <c r="F1105" s="58">
        <v>10000</v>
      </c>
      <c r="G1105" s="58">
        <v>10000</v>
      </c>
    </row>
    <row r="1106" spans="1:7" x14ac:dyDescent="0.25">
      <c r="A1106" s="1">
        <v>498</v>
      </c>
      <c r="B1106" s="1">
        <v>3</v>
      </c>
      <c r="C1106" s="1" t="s">
        <v>23</v>
      </c>
      <c r="D1106" s="1" t="s">
        <v>13</v>
      </c>
      <c r="E1106" s="1">
        <v>1</v>
      </c>
      <c r="F1106" s="58">
        <v>9000</v>
      </c>
      <c r="G1106" s="58">
        <v>9000</v>
      </c>
    </row>
    <row r="1107" spans="1:7" x14ac:dyDescent="0.25">
      <c r="A1107" s="1">
        <v>511</v>
      </c>
      <c r="B1107" s="1">
        <v>1</v>
      </c>
      <c r="C1107" s="1" t="s">
        <v>112</v>
      </c>
      <c r="D1107" s="1" t="s">
        <v>114</v>
      </c>
      <c r="E1107" s="1">
        <v>1</v>
      </c>
      <c r="F1107" s="58">
        <v>6000</v>
      </c>
      <c r="G1107" s="58">
        <v>6000</v>
      </c>
    </row>
    <row r="1108" spans="1:7" x14ac:dyDescent="0.25">
      <c r="A1108" s="1">
        <v>511</v>
      </c>
      <c r="B1108" s="1">
        <v>2</v>
      </c>
      <c r="C1108" s="1" t="s">
        <v>21</v>
      </c>
      <c r="D1108" s="1" t="s">
        <v>5</v>
      </c>
      <c r="E1108" s="1">
        <v>1</v>
      </c>
      <c r="F1108" s="58">
        <v>3000</v>
      </c>
      <c r="G1108" s="58">
        <v>3000</v>
      </c>
    </row>
    <row r="1109" spans="1:7" x14ac:dyDescent="0.25">
      <c r="A1109" s="1">
        <v>511</v>
      </c>
      <c r="B1109" s="1">
        <v>3</v>
      </c>
      <c r="C1109" s="1" t="s">
        <v>65</v>
      </c>
      <c r="D1109" s="1" t="s">
        <v>16</v>
      </c>
      <c r="E1109" s="1">
        <v>1</v>
      </c>
      <c r="F1109" s="58">
        <v>10000</v>
      </c>
      <c r="G1109" s="58">
        <v>10000</v>
      </c>
    </row>
    <row r="1110" spans="1:7" x14ac:dyDescent="0.25">
      <c r="A1110" s="1">
        <v>504</v>
      </c>
      <c r="B1110" s="1">
        <v>1</v>
      </c>
      <c r="C1110" s="1" t="s">
        <v>158</v>
      </c>
      <c r="D1110" s="1" t="s">
        <v>159</v>
      </c>
      <c r="E1110" s="1">
        <v>5</v>
      </c>
      <c r="F1110" s="58">
        <v>1400</v>
      </c>
      <c r="G1110" s="58">
        <v>7000</v>
      </c>
    </row>
    <row r="1111" spans="1:7" x14ac:dyDescent="0.25">
      <c r="A1111" s="1">
        <v>504</v>
      </c>
      <c r="B1111" s="1">
        <v>2</v>
      </c>
      <c r="C1111" s="1" t="s">
        <v>182</v>
      </c>
      <c r="D1111" s="1" t="s">
        <v>183</v>
      </c>
      <c r="E1111" s="1">
        <v>4</v>
      </c>
      <c r="F1111" s="58">
        <v>9000</v>
      </c>
      <c r="G1111" s="58">
        <v>36000</v>
      </c>
    </row>
    <row r="1112" spans="1:7" x14ac:dyDescent="0.25">
      <c r="A1112" s="1">
        <v>504</v>
      </c>
      <c r="B1112" s="1">
        <v>3</v>
      </c>
      <c r="C1112" s="1" t="s">
        <v>28</v>
      </c>
      <c r="D1112" s="1" t="s">
        <v>107</v>
      </c>
      <c r="E1112" s="1">
        <v>1</v>
      </c>
      <c r="F1112" s="58">
        <v>6000</v>
      </c>
      <c r="G1112" s="58">
        <v>6000</v>
      </c>
    </row>
    <row r="1113" spans="1:7" x14ac:dyDescent="0.25">
      <c r="A1113" s="1">
        <v>522</v>
      </c>
      <c r="B1113" s="1">
        <v>1</v>
      </c>
      <c r="C1113" s="1" t="s">
        <v>127</v>
      </c>
      <c r="D1113" s="1" t="s">
        <v>128</v>
      </c>
      <c r="E1113" s="1">
        <v>1</v>
      </c>
      <c r="F1113" s="58">
        <v>4000</v>
      </c>
      <c r="G1113" s="58">
        <v>4000</v>
      </c>
    </row>
    <row r="1114" spans="1:7" x14ac:dyDescent="0.25">
      <c r="A1114" s="1">
        <v>500</v>
      </c>
      <c r="B1114" s="1">
        <v>1</v>
      </c>
      <c r="C1114" s="1" t="s">
        <v>21</v>
      </c>
      <c r="D1114" s="1" t="s">
        <v>5</v>
      </c>
      <c r="E1114" s="1">
        <v>2</v>
      </c>
      <c r="F1114" s="58">
        <v>3000</v>
      </c>
      <c r="G1114" s="58">
        <v>6000</v>
      </c>
    </row>
    <row r="1115" spans="1:7" x14ac:dyDescent="0.25">
      <c r="A1115" s="1">
        <v>500</v>
      </c>
      <c r="B1115" s="1">
        <v>2</v>
      </c>
      <c r="C1115" s="1" t="s">
        <v>27</v>
      </c>
      <c r="D1115" s="1" t="s">
        <v>106</v>
      </c>
      <c r="E1115" s="1">
        <v>2</v>
      </c>
      <c r="F1115" s="58">
        <v>7000</v>
      </c>
      <c r="G1115" s="58">
        <v>14000</v>
      </c>
    </row>
    <row r="1116" spans="1:7" x14ac:dyDescent="0.25">
      <c r="A1116" s="1">
        <v>500</v>
      </c>
      <c r="B1116" s="1">
        <v>3</v>
      </c>
      <c r="C1116" s="1" t="s">
        <v>10</v>
      </c>
      <c r="D1116" s="1" t="s">
        <v>15</v>
      </c>
      <c r="E1116" s="1">
        <v>1</v>
      </c>
      <c r="F1116" s="58">
        <v>10000</v>
      </c>
      <c r="G1116" s="58">
        <v>10000</v>
      </c>
    </row>
    <row r="1117" spans="1:7" x14ac:dyDescent="0.25">
      <c r="A1117" s="1">
        <v>523</v>
      </c>
      <c r="B1117" s="1">
        <v>1</v>
      </c>
      <c r="C1117" s="1" t="s">
        <v>10</v>
      </c>
      <c r="D1117" s="1" t="s">
        <v>15</v>
      </c>
      <c r="E1117" s="1">
        <v>1</v>
      </c>
      <c r="F1117" s="58">
        <v>10000</v>
      </c>
      <c r="G1117" s="58">
        <v>10000</v>
      </c>
    </row>
    <row r="1118" spans="1:7" x14ac:dyDescent="0.25">
      <c r="A1118" s="1">
        <v>525</v>
      </c>
      <c r="B1118" s="1">
        <v>1</v>
      </c>
      <c r="C1118" s="1" t="s">
        <v>158</v>
      </c>
      <c r="D1118" s="1" t="s">
        <v>159</v>
      </c>
      <c r="E1118" s="1">
        <v>1</v>
      </c>
      <c r="F1118" s="58">
        <v>1400</v>
      </c>
      <c r="G1118" s="58">
        <v>1400</v>
      </c>
    </row>
    <row r="1119" spans="1:7" x14ac:dyDescent="0.25">
      <c r="A1119" s="1">
        <v>525</v>
      </c>
      <c r="B1119" s="1">
        <v>2</v>
      </c>
      <c r="C1119" s="1" t="s">
        <v>302</v>
      </c>
      <c r="D1119" s="1" t="s">
        <v>161</v>
      </c>
      <c r="E1119" s="1">
        <v>2</v>
      </c>
      <c r="F1119" s="58">
        <v>1200</v>
      </c>
      <c r="G1119" s="58">
        <v>2400</v>
      </c>
    </row>
    <row r="1120" spans="1:7" x14ac:dyDescent="0.25">
      <c r="A1120" s="1">
        <v>524</v>
      </c>
      <c r="B1120" s="1">
        <v>1</v>
      </c>
      <c r="C1120" s="1" t="s">
        <v>65</v>
      </c>
      <c r="D1120" s="1" t="s">
        <v>16</v>
      </c>
      <c r="E1120" s="1">
        <v>1</v>
      </c>
      <c r="F1120" s="58">
        <v>10000</v>
      </c>
      <c r="G1120" s="58">
        <v>10000</v>
      </c>
    </row>
    <row r="1121" spans="1:7" x14ac:dyDescent="0.25">
      <c r="A1121" s="1">
        <v>524</v>
      </c>
      <c r="B1121" s="1">
        <v>2</v>
      </c>
      <c r="C1121" s="1" t="s">
        <v>21</v>
      </c>
      <c r="D1121" s="1" t="s">
        <v>5</v>
      </c>
      <c r="E1121" s="1">
        <v>1</v>
      </c>
      <c r="F1121" s="58">
        <v>3000</v>
      </c>
      <c r="G1121" s="58">
        <v>3000</v>
      </c>
    </row>
    <row r="1122" spans="1:7" x14ac:dyDescent="0.25">
      <c r="A1122" s="1">
        <v>502</v>
      </c>
      <c r="B1122" s="1">
        <v>1</v>
      </c>
      <c r="C1122" s="1" t="s">
        <v>28</v>
      </c>
      <c r="D1122" s="1" t="s">
        <v>107</v>
      </c>
      <c r="E1122" s="1">
        <v>1</v>
      </c>
      <c r="F1122" s="58">
        <v>6000</v>
      </c>
      <c r="G1122" s="58">
        <v>6000</v>
      </c>
    </row>
    <row r="1123" spans="1:7" x14ac:dyDescent="0.25">
      <c r="A1123" s="1">
        <v>502</v>
      </c>
      <c r="B1123" s="1">
        <v>2</v>
      </c>
      <c r="C1123" s="1" t="s">
        <v>32</v>
      </c>
      <c r="D1123" s="1" t="s">
        <v>9</v>
      </c>
      <c r="E1123" s="1">
        <v>1</v>
      </c>
      <c r="F1123" s="58">
        <v>9000</v>
      </c>
      <c r="G1123" s="58">
        <v>9000</v>
      </c>
    </row>
    <row r="1124" spans="1:7" x14ac:dyDescent="0.25">
      <c r="A1124" s="1">
        <v>502</v>
      </c>
      <c r="B1124" s="1">
        <v>3</v>
      </c>
      <c r="C1124" s="1" t="s">
        <v>22</v>
      </c>
      <c r="D1124" s="1" t="s">
        <v>104</v>
      </c>
      <c r="E1124" s="1">
        <v>2</v>
      </c>
      <c r="F1124" s="58">
        <v>7000</v>
      </c>
      <c r="G1124" s="58">
        <v>14000</v>
      </c>
    </row>
    <row r="1125" spans="1:7" x14ac:dyDescent="0.25">
      <c r="A1125" s="1">
        <v>502</v>
      </c>
      <c r="B1125" s="1">
        <v>4</v>
      </c>
      <c r="C1125" s="1" t="s">
        <v>21</v>
      </c>
      <c r="D1125" s="1" t="s">
        <v>5</v>
      </c>
      <c r="E1125" s="1">
        <v>3</v>
      </c>
      <c r="F1125" s="58">
        <v>3000</v>
      </c>
      <c r="G1125" s="58">
        <v>9000</v>
      </c>
    </row>
    <row r="1126" spans="1:7" x14ac:dyDescent="0.25">
      <c r="A1126" s="1">
        <v>502</v>
      </c>
      <c r="B1126" s="1">
        <v>5</v>
      </c>
      <c r="C1126" s="1" t="s">
        <v>24</v>
      </c>
      <c r="D1126" s="1" t="s">
        <v>105</v>
      </c>
      <c r="E1126" s="1">
        <v>1</v>
      </c>
      <c r="F1126" s="58">
        <v>7000</v>
      </c>
      <c r="G1126" s="58">
        <v>7000</v>
      </c>
    </row>
    <row r="1127" spans="1:7" x14ac:dyDescent="0.25">
      <c r="A1127" s="1">
        <v>526</v>
      </c>
      <c r="B1127" s="1">
        <v>1</v>
      </c>
      <c r="C1127" s="1" t="s">
        <v>21</v>
      </c>
      <c r="D1127" s="1" t="s">
        <v>5</v>
      </c>
      <c r="E1127" s="1">
        <v>1</v>
      </c>
      <c r="F1127" s="58">
        <v>3000</v>
      </c>
      <c r="G1127" s="58">
        <v>3000</v>
      </c>
    </row>
    <row r="1128" spans="1:7" x14ac:dyDescent="0.25">
      <c r="A1128" s="1">
        <v>527</v>
      </c>
      <c r="B1128" s="1">
        <v>1</v>
      </c>
      <c r="C1128" s="1" t="s">
        <v>21</v>
      </c>
      <c r="D1128" s="1" t="s">
        <v>5</v>
      </c>
      <c r="E1128" s="1">
        <v>1</v>
      </c>
      <c r="F1128" s="58">
        <v>3000</v>
      </c>
      <c r="G1128" s="58">
        <v>3000</v>
      </c>
    </row>
    <row r="1129" spans="1:7" x14ac:dyDescent="0.25">
      <c r="A1129" s="1">
        <v>527</v>
      </c>
      <c r="B1129" s="1">
        <v>2</v>
      </c>
      <c r="C1129" s="1" t="s">
        <v>127</v>
      </c>
      <c r="D1129" s="1" t="s">
        <v>128</v>
      </c>
      <c r="E1129" s="1">
        <v>1</v>
      </c>
      <c r="F1129" s="58">
        <v>4000</v>
      </c>
      <c r="G1129" s="58">
        <v>4000</v>
      </c>
    </row>
    <row r="1130" spans="1:7" x14ac:dyDescent="0.25">
      <c r="A1130" s="1">
        <v>528</v>
      </c>
      <c r="B1130" s="1">
        <v>1</v>
      </c>
      <c r="C1130" s="1" t="s">
        <v>65</v>
      </c>
      <c r="D1130" s="1" t="s">
        <v>16</v>
      </c>
      <c r="E1130" s="1">
        <v>1</v>
      </c>
      <c r="F1130" s="58">
        <v>10000</v>
      </c>
      <c r="G1130" s="58">
        <v>10000</v>
      </c>
    </row>
    <row r="1131" spans="1:7" x14ac:dyDescent="0.25">
      <c r="A1131" s="1">
        <v>529</v>
      </c>
      <c r="B1131" s="1">
        <v>1</v>
      </c>
      <c r="C1131" s="1" t="s">
        <v>182</v>
      </c>
      <c r="D1131" s="1" t="s">
        <v>183</v>
      </c>
      <c r="E1131" s="1">
        <v>1</v>
      </c>
      <c r="F1131" s="58">
        <v>9000</v>
      </c>
      <c r="G1131" s="58">
        <v>9000</v>
      </c>
    </row>
    <row r="1132" spans="1:7" x14ac:dyDescent="0.25">
      <c r="A1132" s="1">
        <v>530</v>
      </c>
      <c r="B1132" s="1">
        <v>1</v>
      </c>
      <c r="C1132" s="1" t="s">
        <v>65</v>
      </c>
      <c r="D1132" s="1" t="s">
        <v>16</v>
      </c>
      <c r="E1132" s="1">
        <v>1</v>
      </c>
      <c r="F1132" s="58">
        <v>10000</v>
      </c>
      <c r="G1132" s="58">
        <v>10000</v>
      </c>
    </row>
    <row r="1133" spans="1:7" x14ac:dyDescent="0.25">
      <c r="A1133" s="1">
        <v>530</v>
      </c>
      <c r="B1133" s="1">
        <v>2</v>
      </c>
      <c r="C1133" s="1" t="s">
        <v>130</v>
      </c>
      <c r="D1133" s="1" t="s">
        <v>132</v>
      </c>
      <c r="E1133" s="1">
        <v>1</v>
      </c>
      <c r="F1133" s="58">
        <v>12000</v>
      </c>
      <c r="G1133" s="58">
        <v>12000</v>
      </c>
    </row>
    <row r="1134" spans="1:7" x14ac:dyDescent="0.25">
      <c r="A1134" s="1">
        <v>531</v>
      </c>
      <c r="B1134" s="1">
        <v>1</v>
      </c>
      <c r="C1134" s="1" t="s">
        <v>28</v>
      </c>
      <c r="D1134" s="1" t="s">
        <v>107</v>
      </c>
      <c r="E1134" s="1">
        <v>1</v>
      </c>
      <c r="F1134" s="58">
        <v>6000</v>
      </c>
      <c r="G1134" s="58">
        <v>6000</v>
      </c>
    </row>
    <row r="1135" spans="1:7" x14ac:dyDescent="0.25">
      <c r="A1135" s="1">
        <v>531</v>
      </c>
      <c r="B1135" s="1">
        <v>2</v>
      </c>
      <c r="C1135" s="1" t="s">
        <v>22</v>
      </c>
      <c r="D1135" s="1" t="s">
        <v>104</v>
      </c>
      <c r="E1135" s="1">
        <v>2</v>
      </c>
      <c r="F1135" s="58">
        <v>7000</v>
      </c>
      <c r="G1135" s="58">
        <v>14000</v>
      </c>
    </row>
    <row r="1136" spans="1:7" x14ac:dyDescent="0.25">
      <c r="A1136" s="1">
        <v>531</v>
      </c>
      <c r="B1136" s="1">
        <v>3</v>
      </c>
      <c r="C1136" s="1" t="s">
        <v>30</v>
      </c>
      <c r="D1136" s="1" t="s">
        <v>108</v>
      </c>
      <c r="E1136" s="1">
        <v>1</v>
      </c>
      <c r="F1136" s="58">
        <v>6000</v>
      </c>
      <c r="G1136" s="58">
        <v>6000</v>
      </c>
    </row>
    <row r="1137" spans="1:7" x14ac:dyDescent="0.25">
      <c r="A1137" s="1">
        <v>527</v>
      </c>
      <c r="B1137" s="1">
        <v>1</v>
      </c>
      <c r="C1137" s="1" t="s">
        <v>65</v>
      </c>
      <c r="D1137" s="1" t="s">
        <v>16</v>
      </c>
      <c r="E1137" s="1">
        <v>1</v>
      </c>
      <c r="F1137" s="58">
        <v>10000</v>
      </c>
      <c r="G1137" s="58">
        <v>10000</v>
      </c>
    </row>
    <row r="1138" spans="1:7" x14ac:dyDescent="0.25">
      <c r="A1138" s="1">
        <v>527</v>
      </c>
      <c r="B1138" s="1">
        <v>2</v>
      </c>
      <c r="C1138" s="1" t="s">
        <v>127</v>
      </c>
      <c r="D1138" s="1" t="s">
        <v>128</v>
      </c>
      <c r="E1138" s="1">
        <v>1</v>
      </c>
      <c r="F1138" s="58">
        <v>4000</v>
      </c>
      <c r="G1138" s="58">
        <v>4000</v>
      </c>
    </row>
    <row r="1139" spans="1:7" x14ac:dyDescent="0.25">
      <c r="A1139" s="1">
        <v>527</v>
      </c>
      <c r="B1139" s="1">
        <v>3</v>
      </c>
      <c r="C1139" s="1" t="s">
        <v>164</v>
      </c>
      <c r="D1139" s="1" t="s">
        <v>165</v>
      </c>
      <c r="E1139" s="1">
        <v>1</v>
      </c>
      <c r="F1139" s="58">
        <v>4000</v>
      </c>
      <c r="G1139" s="58">
        <v>4000</v>
      </c>
    </row>
    <row r="1140" spans="1:7" x14ac:dyDescent="0.25">
      <c r="A1140" s="1">
        <v>532</v>
      </c>
      <c r="B1140" s="1">
        <v>1</v>
      </c>
      <c r="C1140" s="1" t="s">
        <v>182</v>
      </c>
      <c r="D1140" s="1" t="s">
        <v>183</v>
      </c>
      <c r="E1140" s="1">
        <v>1</v>
      </c>
      <c r="F1140" s="58">
        <v>9000</v>
      </c>
      <c r="G1140" s="58">
        <v>9000</v>
      </c>
    </row>
    <row r="1141" spans="1:7" x14ac:dyDescent="0.25">
      <c r="A1141" s="1">
        <v>532</v>
      </c>
      <c r="B1141" s="1">
        <v>1</v>
      </c>
      <c r="C1141" s="1" t="s">
        <v>24</v>
      </c>
      <c r="D1141" s="1" t="s">
        <v>105</v>
      </c>
      <c r="E1141" s="1">
        <v>1</v>
      </c>
      <c r="F1141" s="58">
        <v>7000</v>
      </c>
      <c r="G1141" s="58">
        <v>7000</v>
      </c>
    </row>
    <row r="1142" spans="1:7" x14ac:dyDescent="0.25">
      <c r="A1142" s="1">
        <v>532</v>
      </c>
      <c r="B1142" s="1">
        <v>2</v>
      </c>
      <c r="C1142" s="1" t="s">
        <v>302</v>
      </c>
      <c r="D1142" s="1" t="s">
        <v>161</v>
      </c>
      <c r="E1142" s="1">
        <v>2</v>
      </c>
      <c r="F1142" s="58">
        <v>1200</v>
      </c>
      <c r="G1142" s="58">
        <v>2400</v>
      </c>
    </row>
    <row r="1143" spans="1:7" x14ac:dyDescent="0.25">
      <c r="A1143" s="1">
        <v>533</v>
      </c>
      <c r="B1143" s="1">
        <v>3</v>
      </c>
      <c r="C1143" s="1" t="s">
        <v>182</v>
      </c>
      <c r="D1143" s="1" t="s">
        <v>183</v>
      </c>
      <c r="E1143" s="1">
        <v>1</v>
      </c>
      <c r="F1143" s="58">
        <v>9000</v>
      </c>
      <c r="G1143" s="58">
        <v>9000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E107-B2C9-404C-9CBD-B83372698312}">
  <sheetPr codeName="Hoja6">
    <tabColor theme="6" tint="0.39997558519241921"/>
  </sheetPr>
  <dimension ref="A1:H489"/>
  <sheetViews>
    <sheetView zoomScale="140" zoomScaleNormal="140" workbookViewId="0">
      <selection activeCell="D490" sqref="D490"/>
    </sheetView>
  </sheetViews>
  <sheetFormatPr baseColWidth="10" defaultRowHeight="15" x14ac:dyDescent="0.25"/>
  <cols>
    <col min="2" max="2" width="12.7109375" bestFit="1" customWidth="1"/>
    <col min="3" max="3" width="12.42578125" bestFit="1" customWidth="1"/>
    <col min="4" max="4" width="25.7109375" customWidth="1"/>
    <col min="5" max="5" width="14.42578125" customWidth="1"/>
    <col min="6" max="6" width="14.140625" style="49" customWidth="1"/>
    <col min="8" max="8" width="15.28515625" customWidth="1"/>
  </cols>
  <sheetData>
    <row r="1" spans="1:8" x14ac:dyDescent="0.25">
      <c r="A1" s="2" t="s">
        <v>51</v>
      </c>
      <c r="B1" s="2" t="s">
        <v>52</v>
      </c>
      <c r="C1" s="2" t="s">
        <v>50</v>
      </c>
      <c r="D1" s="2" t="s">
        <v>70</v>
      </c>
      <c r="E1" s="2" t="s">
        <v>67</v>
      </c>
      <c r="F1" s="49" t="s">
        <v>57</v>
      </c>
      <c r="G1" s="2" t="s">
        <v>53</v>
      </c>
      <c r="H1" s="1" t="s">
        <v>40</v>
      </c>
    </row>
    <row r="2" spans="1:8" x14ac:dyDescent="0.25">
      <c r="A2" s="42">
        <v>46235</v>
      </c>
      <c r="B2" s="45">
        <v>0.95016203703703705</v>
      </c>
      <c r="C2" s="1">
        <v>1</v>
      </c>
      <c r="D2" s="50" t="s">
        <v>148</v>
      </c>
      <c r="E2" s="1" t="s">
        <v>154</v>
      </c>
      <c r="F2" s="49">
        <v>44000</v>
      </c>
      <c r="G2" s="1" t="s">
        <v>157</v>
      </c>
      <c r="H2" s="1"/>
    </row>
    <row r="3" spans="1:8" x14ac:dyDescent="0.25">
      <c r="A3" s="42">
        <v>46235</v>
      </c>
      <c r="B3" s="45">
        <v>0.95016203703703705</v>
      </c>
      <c r="C3" s="1">
        <v>2</v>
      </c>
      <c r="D3" s="50" t="s">
        <v>149</v>
      </c>
      <c r="E3" s="1" t="s">
        <v>154</v>
      </c>
      <c r="F3" s="49">
        <v>18000</v>
      </c>
      <c r="G3" s="1" t="s">
        <v>157</v>
      </c>
      <c r="H3" s="1"/>
    </row>
    <row r="4" spans="1:8" x14ac:dyDescent="0.25">
      <c r="A4" s="42">
        <v>46235</v>
      </c>
      <c r="B4" s="45">
        <v>0.95016203703703705</v>
      </c>
      <c r="C4" s="1">
        <v>3</v>
      </c>
      <c r="D4" s="50" t="s">
        <v>150</v>
      </c>
      <c r="E4" s="1" t="s">
        <v>154</v>
      </c>
      <c r="F4" s="49">
        <v>6000</v>
      </c>
      <c r="G4" s="1" t="s">
        <v>157</v>
      </c>
      <c r="H4" s="1"/>
    </row>
    <row r="5" spans="1:8" x14ac:dyDescent="0.25">
      <c r="A5" s="42">
        <v>46235</v>
      </c>
      <c r="B5" s="45">
        <v>0.95016203703703705</v>
      </c>
      <c r="C5" s="1">
        <v>4</v>
      </c>
      <c r="D5" s="50" t="s">
        <v>151</v>
      </c>
      <c r="E5" s="1" t="s">
        <v>154</v>
      </c>
      <c r="F5" s="49">
        <v>11400</v>
      </c>
      <c r="G5" s="1" t="s">
        <v>157</v>
      </c>
      <c r="H5" s="1"/>
    </row>
    <row r="6" spans="1:8" x14ac:dyDescent="0.25">
      <c r="A6" s="42">
        <v>46235</v>
      </c>
      <c r="B6" s="45">
        <v>0.95016203703703705</v>
      </c>
      <c r="C6" s="1">
        <v>5</v>
      </c>
      <c r="D6" s="50" t="s">
        <v>152</v>
      </c>
      <c r="E6" s="1" t="s">
        <v>154</v>
      </c>
      <c r="F6" s="49">
        <v>12000</v>
      </c>
      <c r="G6" s="1" t="s">
        <v>157</v>
      </c>
      <c r="H6" s="1"/>
    </row>
    <row r="7" spans="1:8" x14ac:dyDescent="0.25">
      <c r="A7" s="42">
        <v>46235</v>
      </c>
      <c r="B7" s="45">
        <v>0.95016203703703705</v>
      </c>
      <c r="C7" s="1">
        <v>6</v>
      </c>
      <c r="D7" s="50" t="s">
        <v>153</v>
      </c>
      <c r="E7" s="1" t="s">
        <v>58</v>
      </c>
      <c r="F7" s="49">
        <v>12000</v>
      </c>
      <c r="G7" s="1" t="s">
        <v>157</v>
      </c>
      <c r="H7" s="1"/>
    </row>
    <row r="8" spans="1:8" x14ac:dyDescent="0.25">
      <c r="A8" s="42">
        <v>46235</v>
      </c>
      <c r="B8" s="45">
        <v>0.95016203703703705</v>
      </c>
      <c r="C8" s="1">
        <v>7</v>
      </c>
      <c r="D8" s="50" t="s">
        <v>166</v>
      </c>
      <c r="E8" s="1" t="s">
        <v>58</v>
      </c>
      <c r="F8" s="49">
        <v>32000</v>
      </c>
      <c r="G8" s="1" t="s">
        <v>157</v>
      </c>
      <c r="H8" s="1"/>
    </row>
    <row r="9" spans="1:8" x14ac:dyDescent="0.25">
      <c r="A9" s="42">
        <v>46235</v>
      </c>
      <c r="B9" s="45">
        <v>0.95016203703703705</v>
      </c>
      <c r="C9" s="1">
        <v>8</v>
      </c>
      <c r="D9" s="50" t="s">
        <v>43</v>
      </c>
      <c r="E9" s="1" t="s">
        <v>154</v>
      </c>
      <c r="F9" s="49">
        <v>46000</v>
      </c>
      <c r="G9" s="1" t="s">
        <v>157</v>
      </c>
      <c r="H9" s="1"/>
    </row>
    <row r="10" spans="1:8" x14ac:dyDescent="0.25">
      <c r="A10" s="42">
        <v>46235</v>
      </c>
      <c r="B10" s="45">
        <v>0.95016203703703705</v>
      </c>
      <c r="C10" s="1">
        <v>9</v>
      </c>
      <c r="D10" s="50" t="s">
        <v>42</v>
      </c>
      <c r="E10" s="1" t="s">
        <v>58</v>
      </c>
      <c r="F10" s="49">
        <v>30000</v>
      </c>
      <c r="G10" s="1" t="s">
        <v>157</v>
      </c>
      <c r="H10" s="1"/>
    </row>
    <row r="11" spans="1:8" x14ac:dyDescent="0.25">
      <c r="A11" s="42">
        <v>46238</v>
      </c>
      <c r="B11" s="45">
        <v>0.95016203703703705</v>
      </c>
      <c r="C11" s="1">
        <v>10</v>
      </c>
      <c r="D11" s="50" t="s">
        <v>167</v>
      </c>
      <c r="E11" s="1" t="s">
        <v>154</v>
      </c>
      <c r="F11" s="49">
        <v>16000</v>
      </c>
      <c r="G11" s="1" t="s">
        <v>157</v>
      </c>
      <c r="H11" s="1"/>
    </row>
    <row r="12" spans="1:8" x14ac:dyDescent="0.25">
      <c r="A12" s="42">
        <v>46238</v>
      </c>
      <c r="B12" s="45">
        <v>0.95016203703703705</v>
      </c>
      <c r="C12" s="1">
        <v>11</v>
      </c>
      <c r="D12" s="50" t="s">
        <v>168</v>
      </c>
      <c r="E12" s="1" t="s">
        <v>154</v>
      </c>
      <c r="F12" s="49">
        <v>40000</v>
      </c>
      <c r="G12" s="1" t="s">
        <v>157</v>
      </c>
      <c r="H12" s="1"/>
    </row>
    <row r="13" spans="1:8" x14ac:dyDescent="0.25">
      <c r="A13" s="42">
        <v>46238</v>
      </c>
      <c r="B13" s="45">
        <v>0.95016203703703705</v>
      </c>
      <c r="C13" s="1">
        <v>12</v>
      </c>
      <c r="D13" s="50" t="s">
        <v>169</v>
      </c>
      <c r="E13" s="1" t="s">
        <v>154</v>
      </c>
      <c r="F13" s="49">
        <v>21000</v>
      </c>
      <c r="G13" s="1" t="s">
        <v>157</v>
      </c>
      <c r="H13" s="1"/>
    </row>
    <row r="14" spans="1:8" x14ac:dyDescent="0.25">
      <c r="A14" s="42">
        <v>46238</v>
      </c>
      <c r="B14" s="45">
        <v>0.95016203703703705</v>
      </c>
      <c r="C14" s="1">
        <v>13</v>
      </c>
      <c r="D14" s="50" t="s">
        <v>170</v>
      </c>
      <c r="E14" s="1" t="s">
        <v>58</v>
      </c>
      <c r="F14" s="49">
        <v>26000</v>
      </c>
      <c r="G14" s="1" t="s">
        <v>157</v>
      </c>
      <c r="H14" s="1"/>
    </row>
    <row r="15" spans="1:8" x14ac:dyDescent="0.25">
      <c r="A15" s="42">
        <v>46238</v>
      </c>
      <c r="B15" s="45">
        <v>0.95016203703703705</v>
      </c>
      <c r="C15" s="1">
        <v>14</v>
      </c>
      <c r="D15" s="50" t="s">
        <v>172</v>
      </c>
      <c r="E15" s="1" t="s">
        <v>154</v>
      </c>
      <c r="F15" s="49">
        <v>42000</v>
      </c>
      <c r="G15" s="1" t="s">
        <v>157</v>
      </c>
      <c r="H15" s="1"/>
    </row>
    <row r="16" spans="1:8" x14ac:dyDescent="0.25">
      <c r="A16" s="42">
        <v>46238</v>
      </c>
      <c r="B16" s="45">
        <v>0.95016203703703705</v>
      </c>
      <c r="C16" s="1">
        <v>15</v>
      </c>
      <c r="D16" s="50" t="s">
        <v>173</v>
      </c>
      <c r="E16" s="1" t="s">
        <v>154</v>
      </c>
      <c r="F16" s="49">
        <v>6000</v>
      </c>
      <c r="G16" s="1" t="s">
        <v>157</v>
      </c>
      <c r="H16" s="1"/>
    </row>
    <row r="17" spans="1:8" x14ac:dyDescent="0.25">
      <c r="A17" s="42">
        <v>46238</v>
      </c>
      <c r="B17" s="45">
        <v>0.95016203703703705</v>
      </c>
      <c r="C17" s="1">
        <v>17</v>
      </c>
      <c r="D17" s="50" t="s">
        <v>175</v>
      </c>
      <c r="E17" s="1" t="s">
        <v>58</v>
      </c>
      <c r="F17" s="49">
        <v>20000</v>
      </c>
      <c r="G17" s="1" t="s">
        <v>157</v>
      </c>
      <c r="H17" s="1"/>
    </row>
    <row r="18" spans="1:8" x14ac:dyDescent="0.25">
      <c r="A18" s="42">
        <v>46239</v>
      </c>
      <c r="B18" s="45">
        <v>0.95016203703703705</v>
      </c>
      <c r="C18" s="1">
        <v>18</v>
      </c>
      <c r="D18" s="50" t="s">
        <v>176</v>
      </c>
      <c r="E18" s="1" t="s">
        <v>154</v>
      </c>
      <c r="F18" s="49">
        <v>32000</v>
      </c>
      <c r="G18" s="1" t="s">
        <v>157</v>
      </c>
      <c r="H18" s="1"/>
    </row>
    <row r="19" spans="1:8" x14ac:dyDescent="0.25">
      <c r="A19" s="42">
        <v>46240</v>
      </c>
      <c r="B19" s="45">
        <v>0.95016203703703705</v>
      </c>
      <c r="C19" s="1">
        <v>19</v>
      </c>
      <c r="D19" s="50" t="s">
        <v>166</v>
      </c>
      <c r="E19" s="1" t="s">
        <v>58</v>
      </c>
      <c r="F19" s="49">
        <v>16000</v>
      </c>
      <c r="G19" s="1" t="s">
        <v>157</v>
      </c>
      <c r="H19" s="1"/>
    </row>
    <row r="20" spans="1:8" x14ac:dyDescent="0.25">
      <c r="A20" s="42">
        <v>46240</v>
      </c>
      <c r="B20" s="45">
        <v>0.95016203703703705</v>
      </c>
      <c r="C20" s="1">
        <v>20</v>
      </c>
      <c r="D20" s="50" t="s">
        <v>177</v>
      </c>
      <c r="E20" s="1" t="s">
        <v>154</v>
      </c>
      <c r="F20" s="49">
        <v>6000</v>
      </c>
      <c r="G20" s="1" t="s">
        <v>157</v>
      </c>
      <c r="H20" s="1"/>
    </row>
    <row r="21" spans="1:8" x14ac:dyDescent="0.25">
      <c r="A21" s="42">
        <v>46240</v>
      </c>
      <c r="B21" s="45">
        <v>0.95016203703703705</v>
      </c>
      <c r="C21" s="1">
        <v>21</v>
      </c>
      <c r="D21" s="50" t="s">
        <v>178</v>
      </c>
      <c r="E21" s="1" t="s">
        <v>154</v>
      </c>
      <c r="F21" s="49">
        <v>14000</v>
      </c>
      <c r="G21" s="1" t="s">
        <v>157</v>
      </c>
      <c r="H21" s="1"/>
    </row>
    <row r="22" spans="1:8" x14ac:dyDescent="0.25">
      <c r="A22" s="42">
        <v>46240</v>
      </c>
      <c r="B22" s="45">
        <v>0.95016203703703705</v>
      </c>
      <c r="C22" s="1">
        <v>22</v>
      </c>
      <c r="D22" s="50" t="s">
        <v>134</v>
      </c>
      <c r="E22" s="1" t="s">
        <v>154</v>
      </c>
      <c r="F22" s="49">
        <v>42000</v>
      </c>
      <c r="G22" s="1" t="s">
        <v>157</v>
      </c>
      <c r="H22" s="1"/>
    </row>
    <row r="23" spans="1:8" x14ac:dyDescent="0.25">
      <c r="A23" s="42">
        <v>46240</v>
      </c>
      <c r="B23" s="45">
        <v>0.95016203703703705</v>
      </c>
      <c r="C23" s="1">
        <v>23</v>
      </c>
      <c r="D23" s="50" t="s">
        <v>134</v>
      </c>
      <c r="E23" s="1" t="s">
        <v>58</v>
      </c>
      <c r="F23" s="49">
        <v>10000</v>
      </c>
      <c r="G23" s="1" t="s">
        <v>157</v>
      </c>
      <c r="H23" s="1"/>
    </row>
    <row r="24" spans="1:8" x14ac:dyDescent="0.25">
      <c r="A24" s="42">
        <v>46241</v>
      </c>
      <c r="B24" s="45">
        <v>0.95016203703703705</v>
      </c>
      <c r="C24" s="1">
        <v>24</v>
      </c>
      <c r="D24" s="50" t="s">
        <v>179</v>
      </c>
      <c r="E24" s="1" t="s">
        <v>154</v>
      </c>
      <c r="F24" s="49">
        <v>51000</v>
      </c>
      <c r="G24" s="1" t="s">
        <v>157</v>
      </c>
      <c r="H24" s="1"/>
    </row>
    <row r="25" spans="1:8" x14ac:dyDescent="0.25">
      <c r="A25" s="42">
        <v>46241</v>
      </c>
      <c r="B25" s="45">
        <v>0.95016203703703705</v>
      </c>
      <c r="C25" s="1">
        <v>25</v>
      </c>
      <c r="D25" s="50" t="s">
        <v>43</v>
      </c>
      <c r="E25" s="1" t="s">
        <v>154</v>
      </c>
      <c r="F25" s="49">
        <v>33000</v>
      </c>
      <c r="G25" s="1" t="s">
        <v>157</v>
      </c>
      <c r="H25" s="1"/>
    </row>
    <row r="26" spans="1:8" x14ac:dyDescent="0.25">
      <c r="A26" s="42">
        <v>46241</v>
      </c>
      <c r="B26" s="45">
        <v>0.95016203703703705</v>
      </c>
      <c r="C26" s="1">
        <v>26</v>
      </c>
      <c r="D26" s="50" t="s">
        <v>185</v>
      </c>
      <c r="E26" s="1" t="s">
        <v>58</v>
      </c>
      <c r="F26" s="49">
        <v>59000</v>
      </c>
      <c r="G26" s="1" t="s">
        <v>157</v>
      </c>
      <c r="H26" s="1"/>
    </row>
    <row r="27" spans="1:8" x14ac:dyDescent="0.25">
      <c r="A27" s="42">
        <v>46241</v>
      </c>
      <c r="B27" s="45">
        <v>0.95016203703703705</v>
      </c>
      <c r="C27" s="1">
        <v>27</v>
      </c>
      <c r="D27" s="50" t="s">
        <v>134</v>
      </c>
      <c r="E27" s="1" t="s">
        <v>58</v>
      </c>
      <c r="F27" s="49">
        <v>43000</v>
      </c>
      <c r="G27" s="1" t="s">
        <v>157</v>
      </c>
      <c r="H27" s="1"/>
    </row>
    <row r="28" spans="1:8" x14ac:dyDescent="0.25">
      <c r="A28" s="42">
        <v>46241</v>
      </c>
      <c r="B28" s="45">
        <v>0.95016203703703705</v>
      </c>
      <c r="C28" s="1">
        <v>28</v>
      </c>
      <c r="D28" s="50" t="s">
        <v>188</v>
      </c>
      <c r="E28" s="1" t="s">
        <v>154</v>
      </c>
      <c r="F28" s="49">
        <v>12000</v>
      </c>
      <c r="G28" s="1" t="s">
        <v>157</v>
      </c>
      <c r="H28" s="1"/>
    </row>
    <row r="29" spans="1:8" x14ac:dyDescent="0.25">
      <c r="A29" s="42">
        <v>46241</v>
      </c>
      <c r="B29" s="45">
        <v>0.95016203703703705</v>
      </c>
      <c r="C29" s="1">
        <v>29</v>
      </c>
      <c r="D29" s="50" t="s">
        <v>189</v>
      </c>
      <c r="E29" s="1" t="s">
        <v>154</v>
      </c>
      <c r="F29" s="49">
        <v>18000</v>
      </c>
      <c r="G29" s="1" t="s">
        <v>157</v>
      </c>
      <c r="H29" s="1"/>
    </row>
    <row r="30" spans="1:8" x14ac:dyDescent="0.25">
      <c r="A30" s="42">
        <v>46241</v>
      </c>
      <c r="B30" s="45">
        <v>0.95016203703703705</v>
      </c>
      <c r="C30" s="1">
        <v>30</v>
      </c>
      <c r="D30" s="50" t="s">
        <v>134</v>
      </c>
      <c r="E30" s="1" t="s">
        <v>58</v>
      </c>
      <c r="F30" s="49">
        <v>20000</v>
      </c>
      <c r="G30" s="1" t="s">
        <v>157</v>
      </c>
      <c r="H30" s="1"/>
    </row>
    <row r="31" spans="1:8" x14ac:dyDescent="0.25">
      <c r="A31" s="42">
        <v>46241</v>
      </c>
      <c r="B31" s="45">
        <v>0.95016203703703705</v>
      </c>
      <c r="C31" s="1">
        <v>31</v>
      </c>
      <c r="D31" s="50" t="s">
        <v>134</v>
      </c>
      <c r="E31" s="1" t="s">
        <v>154</v>
      </c>
      <c r="F31" s="49">
        <v>26000</v>
      </c>
      <c r="G31" s="1" t="s">
        <v>157</v>
      </c>
      <c r="H31" s="1"/>
    </row>
    <row r="32" spans="1:8" x14ac:dyDescent="0.25">
      <c r="A32" s="42">
        <v>46241</v>
      </c>
      <c r="B32" s="45">
        <v>0.95016203703703705</v>
      </c>
      <c r="C32" s="1">
        <v>32</v>
      </c>
      <c r="D32" s="50" t="s">
        <v>192</v>
      </c>
      <c r="E32" s="1" t="s">
        <v>154</v>
      </c>
      <c r="F32" s="49">
        <v>24000</v>
      </c>
      <c r="G32" s="1" t="s">
        <v>157</v>
      </c>
      <c r="H32" s="1"/>
    </row>
    <row r="33" spans="1:8" x14ac:dyDescent="0.25">
      <c r="A33" s="42">
        <v>46241</v>
      </c>
      <c r="B33" s="45">
        <v>0.95016203703703705</v>
      </c>
      <c r="C33" s="1">
        <v>33</v>
      </c>
      <c r="D33" s="50" t="s">
        <v>193</v>
      </c>
      <c r="E33" s="1" t="s">
        <v>58</v>
      </c>
      <c r="F33" s="49">
        <v>39000</v>
      </c>
      <c r="G33" s="1" t="s">
        <v>157</v>
      </c>
      <c r="H33" s="1"/>
    </row>
    <row r="34" spans="1:8" x14ac:dyDescent="0.25">
      <c r="A34" s="42">
        <v>46241</v>
      </c>
      <c r="B34" s="45">
        <v>0.95016203703703705</v>
      </c>
      <c r="C34" s="1">
        <v>34</v>
      </c>
      <c r="D34" s="50" t="s">
        <v>194</v>
      </c>
      <c r="E34" s="1" t="s">
        <v>154</v>
      </c>
      <c r="F34" s="49">
        <v>21000</v>
      </c>
      <c r="G34" s="1" t="s">
        <v>157</v>
      </c>
      <c r="H34" s="1"/>
    </row>
    <row r="35" spans="1:8" x14ac:dyDescent="0.25">
      <c r="A35" s="42">
        <v>46241</v>
      </c>
      <c r="B35" s="45">
        <v>0.95016203703703705</v>
      </c>
      <c r="C35" s="1">
        <v>35</v>
      </c>
      <c r="D35" s="50" t="s">
        <v>195</v>
      </c>
      <c r="E35" s="1" t="s">
        <v>154</v>
      </c>
      <c r="F35" s="49">
        <v>32000</v>
      </c>
      <c r="G35" s="1" t="s">
        <v>157</v>
      </c>
      <c r="H35" s="1"/>
    </row>
    <row r="36" spans="1:8" x14ac:dyDescent="0.25">
      <c r="A36" s="42">
        <v>46241</v>
      </c>
      <c r="B36" s="45">
        <v>0.95016203703703705</v>
      </c>
      <c r="C36" s="1">
        <v>36</v>
      </c>
      <c r="D36" s="50" t="s">
        <v>196</v>
      </c>
      <c r="E36" s="1" t="s">
        <v>58</v>
      </c>
      <c r="F36" s="49">
        <v>16000</v>
      </c>
      <c r="G36" s="1" t="s">
        <v>157</v>
      </c>
      <c r="H36" s="1"/>
    </row>
    <row r="37" spans="1:8" x14ac:dyDescent="0.25">
      <c r="A37" s="42">
        <v>46241</v>
      </c>
      <c r="B37" s="45">
        <v>0.95016203703703705</v>
      </c>
      <c r="C37" s="1">
        <v>37</v>
      </c>
      <c r="D37" s="50" t="s">
        <v>166</v>
      </c>
      <c r="E37" s="1" t="s">
        <v>154</v>
      </c>
      <c r="F37" s="49">
        <v>34000</v>
      </c>
      <c r="G37" s="1" t="s">
        <v>157</v>
      </c>
      <c r="H37" s="1"/>
    </row>
    <row r="38" spans="1:8" x14ac:dyDescent="0.25">
      <c r="A38" s="42">
        <v>46241</v>
      </c>
      <c r="B38" s="45">
        <v>0.95016203703703705</v>
      </c>
      <c r="C38" s="1">
        <v>38</v>
      </c>
      <c r="D38" s="50" t="s">
        <v>44</v>
      </c>
      <c r="E38" s="1" t="s">
        <v>154</v>
      </c>
      <c r="F38" s="49">
        <v>20000</v>
      </c>
      <c r="G38" s="1" t="s">
        <v>157</v>
      </c>
      <c r="H38" s="1"/>
    </row>
    <row r="39" spans="1:8" x14ac:dyDescent="0.25">
      <c r="A39" s="42">
        <v>46242</v>
      </c>
      <c r="B39" s="45">
        <v>0.95016203703703705</v>
      </c>
      <c r="C39" s="1">
        <v>39</v>
      </c>
      <c r="D39" s="50" t="s">
        <v>197</v>
      </c>
      <c r="E39" s="1" t="s">
        <v>58</v>
      </c>
      <c r="F39" s="49">
        <v>6000</v>
      </c>
      <c r="G39" s="1" t="s">
        <v>157</v>
      </c>
      <c r="H39" s="1"/>
    </row>
    <row r="40" spans="1:8" x14ac:dyDescent="0.25">
      <c r="A40" s="42">
        <v>46242</v>
      </c>
      <c r="B40" s="45">
        <v>0.95016203703703705</v>
      </c>
      <c r="C40" s="1">
        <v>40</v>
      </c>
      <c r="D40" s="50" t="s">
        <v>177</v>
      </c>
      <c r="E40" s="1" t="s">
        <v>154</v>
      </c>
      <c r="F40" s="49">
        <v>17000</v>
      </c>
      <c r="G40" s="1" t="s">
        <v>157</v>
      </c>
      <c r="H40" s="1"/>
    </row>
    <row r="41" spans="1:8" x14ac:dyDescent="0.25">
      <c r="A41" s="42">
        <v>46242</v>
      </c>
      <c r="B41" s="45">
        <v>0.95016203703703705</v>
      </c>
      <c r="C41" s="1">
        <v>41</v>
      </c>
      <c r="D41" s="50" t="s">
        <v>134</v>
      </c>
      <c r="E41" s="1" t="s">
        <v>58</v>
      </c>
      <c r="F41" s="49">
        <v>24000</v>
      </c>
      <c r="G41" s="1" t="s">
        <v>157</v>
      </c>
      <c r="H41" s="1"/>
    </row>
    <row r="42" spans="1:8" x14ac:dyDescent="0.25">
      <c r="A42" s="42">
        <v>46242</v>
      </c>
      <c r="B42" s="45">
        <v>0.95016203703703705</v>
      </c>
      <c r="C42" s="1">
        <v>42</v>
      </c>
      <c r="D42" s="50" t="s">
        <v>199</v>
      </c>
      <c r="E42" s="1" t="s">
        <v>154</v>
      </c>
      <c r="F42" s="49">
        <v>20400</v>
      </c>
      <c r="G42" s="1" t="s">
        <v>157</v>
      </c>
      <c r="H42" s="1"/>
    </row>
    <row r="43" spans="1:8" x14ac:dyDescent="0.25">
      <c r="A43" s="42">
        <v>46242</v>
      </c>
      <c r="B43" s="45">
        <v>0.95016203703703705</v>
      </c>
      <c r="C43" s="1">
        <v>43</v>
      </c>
      <c r="D43" s="50" t="s">
        <v>134</v>
      </c>
      <c r="E43" s="1" t="s">
        <v>58</v>
      </c>
      <c r="F43" s="49">
        <v>13000</v>
      </c>
      <c r="G43" s="1" t="s">
        <v>157</v>
      </c>
      <c r="H43" s="1"/>
    </row>
    <row r="44" spans="1:8" x14ac:dyDescent="0.25">
      <c r="A44" s="42">
        <v>46242</v>
      </c>
      <c r="B44" s="45">
        <v>0.95016203703703705</v>
      </c>
      <c r="C44" s="1">
        <v>44</v>
      </c>
      <c r="D44" s="50" t="s">
        <v>43</v>
      </c>
      <c r="E44" s="1" t="s">
        <v>58</v>
      </c>
      <c r="F44" s="49">
        <v>42000</v>
      </c>
      <c r="G44" s="1" t="s">
        <v>157</v>
      </c>
      <c r="H44" s="1"/>
    </row>
    <row r="45" spans="1:8" x14ac:dyDescent="0.25">
      <c r="A45" s="42">
        <v>46242</v>
      </c>
      <c r="B45" s="45">
        <v>0.95016203703703705</v>
      </c>
      <c r="C45" s="1">
        <v>46</v>
      </c>
      <c r="D45" s="50" t="s">
        <v>103</v>
      </c>
      <c r="E45" s="1" t="s">
        <v>154</v>
      </c>
      <c r="F45" s="49">
        <v>13000</v>
      </c>
      <c r="G45" s="1" t="s">
        <v>157</v>
      </c>
      <c r="H45" s="1"/>
    </row>
    <row r="46" spans="1:8" x14ac:dyDescent="0.25">
      <c r="A46" s="42">
        <v>46242</v>
      </c>
      <c r="B46" s="45">
        <v>0.95016203703703705</v>
      </c>
      <c r="C46" s="1">
        <v>47</v>
      </c>
      <c r="D46" s="50" t="s">
        <v>134</v>
      </c>
      <c r="E46" s="1" t="s">
        <v>154</v>
      </c>
      <c r="F46" s="49">
        <v>6000</v>
      </c>
      <c r="G46" s="1" t="s">
        <v>157</v>
      </c>
      <c r="H46" s="1"/>
    </row>
    <row r="47" spans="1:8" x14ac:dyDescent="0.25">
      <c r="A47" s="42">
        <v>46242</v>
      </c>
      <c r="B47" s="45">
        <v>0.95016203703703705</v>
      </c>
      <c r="C47" s="1">
        <v>48</v>
      </c>
      <c r="D47" s="50" t="s">
        <v>134</v>
      </c>
      <c r="E47" s="1" t="s">
        <v>154</v>
      </c>
      <c r="F47" s="49">
        <v>36000</v>
      </c>
      <c r="G47" s="1" t="s">
        <v>157</v>
      </c>
      <c r="H47" s="1"/>
    </row>
    <row r="48" spans="1:8" x14ac:dyDescent="0.25">
      <c r="A48" s="42">
        <v>46242</v>
      </c>
      <c r="B48" s="45">
        <v>0.95016203703703705</v>
      </c>
      <c r="C48" s="1">
        <v>49</v>
      </c>
      <c r="D48" s="50" t="s">
        <v>134</v>
      </c>
      <c r="E48" s="1" t="s">
        <v>154</v>
      </c>
      <c r="F48" s="49">
        <v>6000</v>
      </c>
      <c r="G48" s="1" t="s">
        <v>157</v>
      </c>
      <c r="H48" s="1"/>
    </row>
    <row r="49" spans="1:8" x14ac:dyDescent="0.25">
      <c r="A49" s="42">
        <v>46242</v>
      </c>
      <c r="B49" s="45">
        <v>0.95016203703703705</v>
      </c>
      <c r="C49" s="1">
        <v>50</v>
      </c>
      <c r="D49" s="50" t="s">
        <v>134</v>
      </c>
      <c r="E49" s="1" t="s">
        <v>154</v>
      </c>
      <c r="F49" s="49">
        <v>15000</v>
      </c>
      <c r="G49" s="1" t="s">
        <v>157</v>
      </c>
      <c r="H49" s="1"/>
    </row>
    <row r="50" spans="1:8" x14ac:dyDescent="0.25">
      <c r="A50" s="42">
        <v>46242</v>
      </c>
      <c r="B50" s="45">
        <v>0.95016203703703705</v>
      </c>
      <c r="C50" s="1">
        <v>51</v>
      </c>
      <c r="D50" s="50" t="s">
        <v>42</v>
      </c>
      <c r="E50" s="1" t="s">
        <v>154</v>
      </c>
      <c r="F50" s="49">
        <v>60000</v>
      </c>
      <c r="G50" s="1" t="s">
        <v>157</v>
      </c>
      <c r="H50" s="1"/>
    </row>
    <row r="51" spans="1:8" x14ac:dyDescent="0.25">
      <c r="A51" s="42">
        <v>46242</v>
      </c>
      <c r="B51" s="45">
        <v>0.95016203703703705</v>
      </c>
      <c r="C51" s="1">
        <v>52</v>
      </c>
      <c r="D51" s="50" t="s">
        <v>134</v>
      </c>
      <c r="E51" s="1" t="s">
        <v>58</v>
      </c>
      <c r="F51" s="49">
        <v>32000</v>
      </c>
      <c r="G51" s="1" t="s">
        <v>157</v>
      </c>
      <c r="H51" s="1"/>
    </row>
    <row r="52" spans="1:8" x14ac:dyDescent="0.25">
      <c r="A52" s="42">
        <v>46242</v>
      </c>
      <c r="B52" s="45">
        <v>0.95016203703703705</v>
      </c>
      <c r="C52" s="1">
        <v>53</v>
      </c>
      <c r="D52" s="50" t="s">
        <v>178</v>
      </c>
      <c r="E52" s="1" t="s">
        <v>154</v>
      </c>
      <c r="F52" s="49">
        <v>25000</v>
      </c>
      <c r="G52" s="1" t="s">
        <v>157</v>
      </c>
      <c r="H52" s="1"/>
    </row>
    <row r="53" spans="1:8" x14ac:dyDescent="0.25">
      <c r="A53" s="42">
        <v>46242</v>
      </c>
      <c r="B53" s="45">
        <v>0.95016203703703705</v>
      </c>
      <c r="C53" s="1">
        <v>54</v>
      </c>
      <c r="D53" s="50" t="s">
        <v>46</v>
      </c>
      <c r="E53" s="1" t="s">
        <v>154</v>
      </c>
      <c r="F53" s="49">
        <v>38000</v>
      </c>
      <c r="G53" s="1" t="s">
        <v>157</v>
      </c>
      <c r="H53" s="1"/>
    </row>
    <row r="54" spans="1:8" x14ac:dyDescent="0.25">
      <c r="A54" s="42">
        <v>46242</v>
      </c>
      <c r="B54" s="45">
        <v>0.95016203703703705</v>
      </c>
      <c r="C54" s="1">
        <v>56</v>
      </c>
      <c r="D54" s="50" t="s">
        <v>43</v>
      </c>
      <c r="E54" s="1" t="s">
        <v>154</v>
      </c>
      <c r="F54" s="49">
        <v>34000</v>
      </c>
      <c r="G54" s="1" t="s">
        <v>157</v>
      </c>
      <c r="H54" s="1"/>
    </row>
    <row r="55" spans="1:8" x14ac:dyDescent="0.25">
      <c r="A55" s="42">
        <v>46247</v>
      </c>
      <c r="B55" s="45">
        <v>0.95016203703703705</v>
      </c>
      <c r="C55" s="1">
        <v>57</v>
      </c>
      <c r="D55" s="50" t="s">
        <v>43</v>
      </c>
      <c r="E55" s="1" t="s">
        <v>154</v>
      </c>
      <c r="F55" s="49">
        <v>18000</v>
      </c>
      <c r="G55" s="1" t="s">
        <v>157</v>
      </c>
      <c r="H55" s="1"/>
    </row>
    <row r="56" spans="1:8" x14ac:dyDescent="0.25">
      <c r="A56" s="42">
        <v>46247</v>
      </c>
      <c r="B56" s="45">
        <v>0.95016203703703705</v>
      </c>
      <c r="C56" s="1">
        <v>58</v>
      </c>
      <c r="D56" s="50" t="s">
        <v>178</v>
      </c>
      <c r="E56" s="1" t="s">
        <v>58</v>
      </c>
      <c r="F56" s="49">
        <v>16000</v>
      </c>
      <c r="G56" s="1" t="s">
        <v>157</v>
      </c>
      <c r="H56" s="1"/>
    </row>
    <row r="57" spans="1:8" x14ac:dyDescent="0.25">
      <c r="A57" s="42">
        <v>46247</v>
      </c>
      <c r="B57" s="45">
        <v>0.95016203703703705</v>
      </c>
      <c r="C57" s="1">
        <v>59</v>
      </c>
      <c r="D57" s="50" t="s">
        <v>202</v>
      </c>
      <c r="E57" s="1" t="s">
        <v>154</v>
      </c>
      <c r="F57" s="49">
        <v>60000</v>
      </c>
      <c r="G57" s="1" t="s">
        <v>157</v>
      </c>
      <c r="H57" s="1"/>
    </row>
    <row r="58" spans="1:8" x14ac:dyDescent="0.25">
      <c r="A58" s="42">
        <v>46248</v>
      </c>
      <c r="B58" s="45">
        <v>0.95016203703703705</v>
      </c>
      <c r="C58" s="1">
        <v>60</v>
      </c>
      <c r="D58" s="50" t="s">
        <v>134</v>
      </c>
      <c r="E58" s="1" t="s">
        <v>58</v>
      </c>
      <c r="F58" s="49">
        <v>24000</v>
      </c>
      <c r="G58" s="1" t="s">
        <v>157</v>
      </c>
      <c r="H58" s="1"/>
    </row>
    <row r="59" spans="1:8" x14ac:dyDescent="0.25">
      <c r="A59" s="42">
        <v>46248</v>
      </c>
      <c r="B59" s="45">
        <v>0.95016203703703705</v>
      </c>
      <c r="C59" s="1">
        <v>61</v>
      </c>
      <c r="D59" s="50" t="s">
        <v>201</v>
      </c>
      <c r="E59" s="1" t="s">
        <v>154</v>
      </c>
      <c r="F59" s="49">
        <v>24000</v>
      </c>
      <c r="G59" s="1" t="s">
        <v>157</v>
      </c>
      <c r="H59" s="1"/>
    </row>
    <row r="60" spans="1:8" x14ac:dyDescent="0.25">
      <c r="A60" s="42">
        <v>46248</v>
      </c>
      <c r="B60" s="45">
        <v>0.95016203703703705</v>
      </c>
      <c r="C60" s="1">
        <v>62</v>
      </c>
      <c r="D60" s="50" t="s">
        <v>203</v>
      </c>
      <c r="E60" s="1" t="s">
        <v>58</v>
      </c>
      <c r="F60" s="49">
        <v>14400</v>
      </c>
      <c r="G60" s="1" t="s">
        <v>157</v>
      </c>
      <c r="H60" s="1"/>
    </row>
    <row r="61" spans="1:8" x14ac:dyDescent="0.25">
      <c r="A61" s="42">
        <v>46248</v>
      </c>
      <c r="B61" s="45">
        <v>0.95016203703703705</v>
      </c>
      <c r="C61" s="1">
        <v>64</v>
      </c>
      <c r="D61" s="50" t="s">
        <v>46</v>
      </c>
      <c r="E61" s="1" t="s">
        <v>58</v>
      </c>
      <c r="F61" s="49">
        <v>6000</v>
      </c>
      <c r="G61" s="1" t="s">
        <v>157</v>
      </c>
      <c r="H61" s="1"/>
    </row>
    <row r="62" spans="1:8" x14ac:dyDescent="0.25">
      <c r="A62" s="42">
        <v>46248</v>
      </c>
      <c r="B62" s="45">
        <v>0.95016203703703705</v>
      </c>
      <c r="C62" s="1">
        <v>66</v>
      </c>
      <c r="D62" s="50" t="s">
        <v>43</v>
      </c>
      <c r="E62" s="1" t="s">
        <v>154</v>
      </c>
      <c r="F62" s="49">
        <v>22000</v>
      </c>
      <c r="G62" s="1" t="s">
        <v>157</v>
      </c>
      <c r="H62" s="1"/>
    </row>
    <row r="63" spans="1:8" x14ac:dyDescent="0.25">
      <c r="A63" s="42">
        <v>46248</v>
      </c>
      <c r="B63" s="45">
        <v>0.95016203703703705</v>
      </c>
      <c r="C63" s="1">
        <v>67</v>
      </c>
      <c r="D63" s="50" t="s">
        <v>205</v>
      </c>
      <c r="E63" s="1" t="s">
        <v>154</v>
      </c>
      <c r="F63" s="49">
        <v>60000</v>
      </c>
      <c r="G63" s="1" t="s">
        <v>157</v>
      </c>
      <c r="H63" s="1"/>
    </row>
    <row r="64" spans="1:8" x14ac:dyDescent="0.25">
      <c r="A64" s="42">
        <v>46249</v>
      </c>
      <c r="B64" s="45">
        <v>0.95016203703703705</v>
      </c>
      <c r="C64" s="1">
        <v>68</v>
      </c>
      <c r="D64" s="50" t="s">
        <v>206</v>
      </c>
      <c r="E64" s="1" t="s">
        <v>58</v>
      </c>
      <c r="F64" s="49">
        <v>24000</v>
      </c>
      <c r="G64" s="1" t="s">
        <v>157</v>
      </c>
      <c r="H64" s="1"/>
    </row>
    <row r="65" spans="1:8" x14ac:dyDescent="0.25">
      <c r="A65" s="42">
        <v>46249</v>
      </c>
      <c r="B65" s="45">
        <v>0.95016203703703705</v>
      </c>
      <c r="C65" s="1">
        <v>69</v>
      </c>
      <c r="D65" s="50" t="s">
        <v>207</v>
      </c>
      <c r="E65" s="1" t="s">
        <v>154</v>
      </c>
      <c r="F65" s="49">
        <v>24000</v>
      </c>
      <c r="G65" s="1" t="s">
        <v>157</v>
      </c>
      <c r="H65" s="1"/>
    </row>
    <row r="66" spans="1:8" x14ac:dyDescent="0.25">
      <c r="A66" s="42">
        <v>46249</v>
      </c>
      <c r="B66" s="45">
        <v>0.95016203703703705</v>
      </c>
      <c r="C66" s="1">
        <v>70</v>
      </c>
      <c r="D66" s="50" t="s">
        <v>208</v>
      </c>
      <c r="E66" s="1" t="s">
        <v>154</v>
      </c>
      <c r="F66" s="49">
        <v>14000</v>
      </c>
      <c r="G66" s="1" t="s">
        <v>157</v>
      </c>
      <c r="H66" s="1"/>
    </row>
    <row r="67" spans="1:8" x14ac:dyDescent="0.25">
      <c r="A67" s="42">
        <v>46249</v>
      </c>
      <c r="B67" s="45">
        <v>0.95016203703703705</v>
      </c>
      <c r="C67" s="1">
        <v>71</v>
      </c>
      <c r="D67" s="50" t="s">
        <v>194</v>
      </c>
      <c r="E67" s="1" t="s">
        <v>58</v>
      </c>
      <c r="F67" s="49">
        <v>12000</v>
      </c>
      <c r="G67" s="1" t="s">
        <v>157</v>
      </c>
      <c r="H67" s="1"/>
    </row>
    <row r="68" spans="1:8" x14ac:dyDescent="0.25">
      <c r="A68" s="42">
        <v>46249</v>
      </c>
      <c r="B68" s="45">
        <v>0.95016203703703705</v>
      </c>
      <c r="C68" s="1">
        <v>72</v>
      </c>
      <c r="D68" s="50" t="s">
        <v>42</v>
      </c>
      <c r="E68" s="1" t="s">
        <v>58</v>
      </c>
      <c r="F68" s="49">
        <v>22000</v>
      </c>
      <c r="G68" s="1" t="s">
        <v>157</v>
      </c>
      <c r="H68" s="1"/>
    </row>
    <row r="69" spans="1:8" x14ac:dyDescent="0.25">
      <c r="A69" s="42">
        <v>46249</v>
      </c>
      <c r="B69" s="45">
        <v>0.95016203703703705</v>
      </c>
      <c r="C69" s="1">
        <v>73</v>
      </c>
      <c r="D69" s="50" t="s">
        <v>166</v>
      </c>
      <c r="E69" s="1" t="s">
        <v>58</v>
      </c>
      <c r="F69" s="49">
        <v>62000</v>
      </c>
      <c r="G69" s="1" t="s">
        <v>157</v>
      </c>
      <c r="H69" s="1"/>
    </row>
    <row r="70" spans="1:8" x14ac:dyDescent="0.25">
      <c r="A70" s="42">
        <v>46249</v>
      </c>
      <c r="B70" s="45">
        <v>0.95016203703703705</v>
      </c>
      <c r="C70" s="1">
        <v>74</v>
      </c>
      <c r="D70" s="50" t="s">
        <v>43</v>
      </c>
      <c r="E70" s="1" t="s">
        <v>162</v>
      </c>
      <c r="F70" s="49">
        <v>12000</v>
      </c>
      <c r="G70" s="1" t="s">
        <v>157</v>
      </c>
      <c r="H70" s="1"/>
    </row>
    <row r="71" spans="1:8" x14ac:dyDescent="0.25">
      <c r="A71" s="42">
        <v>46249</v>
      </c>
      <c r="B71" s="45">
        <v>0.95016203703703705</v>
      </c>
      <c r="C71" s="1">
        <v>75</v>
      </c>
      <c r="D71" s="50" t="s">
        <v>43</v>
      </c>
      <c r="E71" s="1" t="s">
        <v>162</v>
      </c>
      <c r="F71" s="49">
        <v>38000</v>
      </c>
      <c r="G71" s="1" t="s">
        <v>157</v>
      </c>
      <c r="H71" s="1"/>
    </row>
    <row r="72" spans="1:8" x14ac:dyDescent="0.25">
      <c r="A72" s="42">
        <v>46249</v>
      </c>
      <c r="B72" s="45">
        <v>0.95016203703703705</v>
      </c>
      <c r="C72" s="1">
        <v>76</v>
      </c>
      <c r="D72" s="50" t="s">
        <v>134</v>
      </c>
      <c r="E72" s="1" t="s">
        <v>58</v>
      </c>
      <c r="F72" s="47">
        <v>33000</v>
      </c>
      <c r="G72" s="1" t="s">
        <v>157</v>
      </c>
      <c r="H72" s="1"/>
    </row>
    <row r="73" spans="1:8" x14ac:dyDescent="0.25">
      <c r="A73" s="42">
        <v>46254</v>
      </c>
      <c r="B73" s="45">
        <v>0.95016203703703705</v>
      </c>
      <c r="C73" s="1">
        <v>78</v>
      </c>
      <c r="D73" s="50" t="s">
        <v>206</v>
      </c>
      <c r="E73" s="1" t="s">
        <v>58</v>
      </c>
      <c r="F73" s="49">
        <v>14800</v>
      </c>
      <c r="G73" s="1" t="s">
        <v>157</v>
      </c>
      <c r="H73" s="1"/>
    </row>
    <row r="74" spans="1:8" x14ac:dyDescent="0.25">
      <c r="A74" s="42">
        <v>46254</v>
      </c>
      <c r="B74" s="45">
        <v>0.95016203703703705</v>
      </c>
      <c r="C74" s="1">
        <v>79</v>
      </c>
      <c r="D74" s="50" t="s">
        <v>208</v>
      </c>
      <c r="E74" s="1" t="s">
        <v>58</v>
      </c>
      <c r="F74" s="49">
        <v>39000</v>
      </c>
      <c r="G74" s="1" t="s">
        <v>157</v>
      </c>
      <c r="H74" s="1"/>
    </row>
    <row r="75" spans="1:8" x14ac:dyDescent="0.25">
      <c r="A75" s="42">
        <v>46254</v>
      </c>
      <c r="B75" s="45">
        <v>0.95016203703703705</v>
      </c>
      <c r="C75" s="1">
        <v>82</v>
      </c>
      <c r="D75" s="50" t="s">
        <v>43</v>
      </c>
      <c r="E75" s="1" t="s">
        <v>154</v>
      </c>
      <c r="F75" s="49">
        <v>28000</v>
      </c>
      <c r="G75" s="1" t="s">
        <v>157</v>
      </c>
      <c r="H75" s="1"/>
    </row>
    <row r="76" spans="1:8" x14ac:dyDescent="0.25">
      <c r="A76" s="42">
        <v>46254</v>
      </c>
      <c r="B76" s="45">
        <v>0.95016203703703705</v>
      </c>
      <c r="C76" s="1">
        <v>86</v>
      </c>
      <c r="D76" s="50" t="s">
        <v>212</v>
      </c>
      <c r="E76" s="1" t="s">
        <v>154</v>
      </c>
      <c r="F76" s="49">
        <v>10000</v>
      </c>
      <c r="G76" s="1" t="s">
        <v>157</v>
      </c>
      <c r="H76" s="1"/>
    </row>
    <row r="77" spans="1:8" x14ac:dyDescent="0.25">
      <c r="A77" s="42">
        <v>46254</v>
      </c>
      <c r="B77" s="45">
        <v>0.95016203703703705</v>
      </c>
      <c r="C77" s="1">
        <v>87</v>
      </c>
      <c r="D77" s="50" t="s">
        <v>213</v>
      </c>
      <c r="E77" s="1" t="s">
        <v>154</v>
      </c>
      <c r="F77" s="49">
        <v>10000</v>
      </c>
      <c r="G77" s="1" t="s">
        <v>157</v>
      </c>
      <c r="H77" s="1"/>
    </row>
    <row r="78" spans="1:8" x14ac:dyDescent="0.25">
      <c r="A78" s="42">
        <v>46254</v>
      </c>
      <c r="B78" s="45">
        <v>0.95016203703703705</v>
      </c>
      <c r="C78" s="1">
        <v>90</v>
      </c>
      <c r="D78" s="50" t="s">
        <v>166</v>
      </c>
      <c r="E78" s="1" t="s">
        <v>58</v>
      </c>
      <c r="F78" s="49">
        <v>6000</v>
      </c>
      <c r="G78" s="1" t="s">
        <v>157</v>
      </c>
      <c r="H78" s="1"/>
    </row>
    <row r="79" spans="1:8" x14ac:dyDescent="0.25">
      <c r="A79" s="42">
        <v>46254</v>
      </c>
      <c r="B79" s="45">
        <v>0.95016203703703705</v>
      </c>
      <c r="C79" s="1">
        <v>91</v>
      </c>
      <c r="D79" s="50" t="s">
        <v>214</v>
      </c>
      <c r="E79" s="1" t="s">
        <v>58</v>
      </c>
      <c r="F79" s="49">
        <v>6000</v>
      </c>
      <c r="G79" s="1" t="s">
        <v>157</v>
      </c>
      <c r="H79" s="1"/>
    </row>
    <row r="80" spans="1:8" x14ac:dyDescent="0.25">
      <c r="A80" s="42">
        <v>46254</v>
      </c>
      <c r="B80" s="45">
        <v>0.95016203703703705</v>
      </c>
      <c r="C80" s="1">
        <v>92</v>
      </c>
      <c r="D80" s="50" t="s">
        <v>166</v>
      </c>
      <c r="E80" s="1" t="s">
        <v>58</v>
      </c>
      <c r="F80" s="49">
        <v>25000</v>
      </c>
      <c r="G80" s="1" t="s">
        <v>157</v>
      </c>
      <c r="H80" s="1"/>
    </row>
    <row r="81" spans="1:8" x14ac:dyDescent="0.25">
      <c r="A81" s="42">
        <v>46255</v>
      </c>
      <c r="B81" s="45">
        <v>0.95016203703703705</v>
      </c>
      <c r="C81" s="1">
        <v>93</v>
      </c>
      <c r="D81" s="50" t="s">
        <v>43</v>
      </c>
      <c r="E81" s="1" t="s">
        <v>154</v>
      </c>
      <c r="F81" s="49">
        <v>12000</v>
      </c>
      <c r="G81" s="1" t="s">
        <v>157</v>
      </c>
      <c r="H81" s="1"/>
    </row>
    <row r="82" spans="1:8" x14ac:dyDescent="0.25">
      <c r="A82" s="42">
        <v>46255</v>
      </c>
      <c r="B82" s="45">
        <v>0.95016203703703705</v>
      </c>
      <c r="C82" s="1">
        <v>94</v>
      </c>
      <c r="D82" s="50" t="s">
        <v>42</v>
      </c>
      <c r="E82" s="1" t="s">
        <v>154</v>
      </c>
      <c r="F82" s="49">
        <v>38000</v>
      </c>
      <c r="G82" s="1" t="s">
        <v>157</v>
      </c>
      <c r="H82" s="1"/>
    </row>
    <row r="83" spans="1:8" x14ac:dyDescent="0.25">
      <c r="A83" s="42">
        <v>46255</v>
      </c>
      <c r="B83" s="45">
        <v>0.95016203703703705</v>
      </c>
      <c r="C83" s="1">
        <v>95</v>
      </c>
      <c r="D83" s="50" t="s">
        <v>44</v>
      </c>
      <c r="E83" s="1" t="s">
        <v>154</v>
      </c>
      <c r="F83" s="49">
        <v>27000</v>
      </c>
      <c r="G83" s="1" t="s">
        <v>157</v>
      </c>
      <c r="H83" s="1"/>
    </row>
    <row r="84" spans="1:8" x14ac:dyDescent="0.25">
      <c r="A84" s="42">
        <v>46255</v>
      </c>
      <c r="B84" s="45">
        <v>0.95016203703703705</v>
      </c>
      <c r="C84" s="1">
        <v>96</v>
      </c>
      <c r="D84" s="50" t="s">
        <v>198</v>
      </c>
      <c r="E84" s="1" t="s">
        <v>154</v>
      </c>
      <c r="F84" s="49">
        <v>36000</v>
      </c>
      <c r="G84" s="1" t="s">
        <v>157</v>
      </c>
      <c r="H84" s="1"/>
    </row>
    <row r="85" spans="1:8" x14ac:dyDescent="0.25">
      <c r="A85" s="42">
        <v>46255</v>
      </c>
      <c r="B85" s="45">
        <v>0.95016203703703705</v>
      </c>
      <c r="C85" s="1">
        <v>97</v>
      </c>
      <c r="D85" s="50" t="s">
        <v>126</v>
      </c>
      <c r="E85" s="1" t="s">
        <v>154</v>
      </c>
      <c r="F85" s="49">
        <v>4000</v>
      </c>
      <c r="G85" s="1" t="s">
        <v>157</v>
      </c>
      <c r="H85" s="1"/>
    </row>
    <row r="86" spans="1:8" x14ac:dyDescent="0.25">
      <c r="A86" s="42">
        <v>46255</v>
      </c>
      <c r="B86" s="45">
        <v>0.95016203703703705</v>
      </c>
      <c r="C86" s="1">
        <v>98</v>
      </c>
      <c r="D86" s="50" t="s">
        <v>198</v>
      </c>
      <c r="E86" s="1" t="s">
        <v>154</v>
      </c>
      <c r="F86" s="49">
        <v>188000</v>
      </c>
      <c r="G86" s="1" t="s">
        <v>157</v>
      </c>
      <c r="H86" s="1"/>
    </row>
    <row r="87" spans="1:8" x14ac:dyDescent="0.25">
      <c r="A87" s="42">
        <v>46255</v>
      </c>
      <c r="B87" s="45">
        <v>0.95016203703703705</v>
      </c>
      <c r="C87" s="1">
        <v>99</v>
      </c>
      <c r="D87" s="50" t="s">
        <v>215</v>
      </c>
      <c r="E87" s="1" t="s">
        <v>154</v>
      </c>
      <c r="F87" s="49">
        <v>16000</v>
      </c>
      <c r="G87" s="1" t="s">
        <v>157</v>
      </c>
      <c r="H87" s="1"/>
    </row>
    <row r="88" spans="1:8" x14ac:dyDescent="0.25">
      <c r="A88" s="42">
        <v>46255</v>
      </c>
      <c r="B88" s="45">
        <v>0.95016203703703705</v>
      </c>
      <c r="C88" s="1">
        <v>100</v>
      </c>
      <c r="D88" s="50" t="s">
        <v>216</v>
      </c>
      <c r="E88" s="1" t="s">
        <v>58</v>
      </c>
      <c r="F88" s="49">
        <v>6000</v>
      </c>
      <c r="G88" s="1" t="s">
        <v>157</v>
      </c>
      <c r="H88" s="1"/>
    </row>
    <row r="89" spans="1:8" x14ac:dyDescent="0.25">
      <c r="A89" s="42">
        <v>46255</v>
      </c>
      <c r="B89" s="45">
        <v>0.95016203703703705</v>
      </c>
      <c r="C89" s="1">
        <v>101</v>
      </c>
      <c r="D89" s="50" t="s">
        <v>217</v>
      </c>
      <c r="E89" s="1" t="s">
        <v>58</v>
      </c>
      <c r="F89" s="49">
        <v>18000</v>
      </c>
      <c r="G89" s="1" t="s">
        <v>157</v>
      </c>
      <c r="H89" s="1"/>
    </row>
    <row r="90" spans="1:8" x14ac:dyDescent="0.25">
      <c r="A90" s="42">
        <v>46255</v>
      </c>
      <c r="B90" s="45">
        <v>0.95016203703703705</v>
      </c>
      <c r="C90" s="1">
        <v>103</v>
      </c>
      <c r="D90" s="50" t="s">
        <v>168</v>
      </c>
      <c r="E90" s="1" t="s">
        <v>154</v>
      </c>
      <c r="F90" s="49">
        <v>22000</v>
      </c>
      <c r="G90" s="1" t="s">
        <v>157</v>
      </c>
      <c r="H90" s="1"/>
    </row>
    <row r="91" spans="1:8" x14ac:dyDescent="0.25">
      <c r="A91" s="42">
        <v>46255</v>
      </c>
      <c r="B91" s="45">
        <v>0.95016203703703705</v>
      </c>
      <c r="C91" s="1">
        <v>104</v>
      </c>
      <c r="D91" s="50" t="s">
        <v>134</v>
      </c>
      <c r="E91" s="1" t="s">
        <v>154</v>
      </c>
      <c r="F91" s="49">
        <v>90000</v>
      </c>
      <c r="G91" s="1" t="s">
        <v>157</v>
      </c>
      <c r="H91" s="1"/>
    </row>
    <row r="92" spans="1:8" x14ac:dyDescent="0.25">
      <c r="A92" s="42">
        <v>46255</v>
      </c>
      <c r="B92" s="45">
        <v>0.95016203703703705</v>
      </c>
      <c r="C92" s="1">
        <v>105</v>
      </c>
      <c r="D92" s="50" t="s">
        <v>134</v>
      </c>
      <c r="E92" s="1" t="s">
        <v>154</v>
      </c>
      <c r="F92" s="49">
        <v>22000</v>
      </c>
      <c r="G92" s="1" t="s">
        <v>157</v>
      </c>
      <c r="H92" s="1"/>
    </row>
    <row r="93" spans="1:8" x14ac:dyDescent="0.25">
      <c r="A93" s="42">
        <v>46256</v>
      </c>
      <c r="B93" s="45">
        <v>0.95016203703703705</v>
      </c>
      <c r="C93" s="1">
        <v>106</v>
      </c>
      <c r="D93" s="50" t="s">
        <v>126</v>
      </c>
      <c r="E93" s="1" t="s">
        <v>154</v>
      </c>
      <c r="F93" s="49">
        <v>93000</v>
      </c>
      <c r="G93" s="1" t="s">
        <v>157</v>
      </c>
      <c r="H93" s="1"/>
    </row>
    <row r="94" spans="1:8" x14ac:dyDescent="0.25">
      <c r="A94" s="42">
        <v>46256</v>
      </c>
      <c r="B94" s="45">
        <v>0.95016203703703705</v>
      </c>
      <c r="C94" s="1">
        <v>108</v>
      </c>
      <c r="D94" s="50" t="s">
        <v>42</v>
      </c>
      <c r="E94" s="1" t="s">
        <v>154</v>
      </c>
      <c r="F94" s="49">
        <v>36000</v>
      </c>
      <c r="G94" s="1" t="s">
        <v>157</v>
      </c>
      <c r="H94" s="1"/>
    </row>
    <row r="95" spans="1:8" x14ac:dyDescent="0.25">
      <c r="A95" s="42">
        <v>46256</v>
      </c>
      <c r="B95" s="45">
        <v>0.95016203703703705</v>
      </c>
      <c r="C95" s="1">
        <v>109</v>
      </c>
      <c r="D95" s="50" t="s">
        <v>234</v>
      </c>
      <c r="E95" s="1" t="s">
        <v>154</v>
      </c>
      <c r="F95" s="49">
        <v>31000</v>
      </c>
      <c r="G95" s="1" t="s">
        <v>157</v>
      </c>
      <c r="H95" s="1"/>
    </row>
    <row r="96" spans="1:8" x14ac:dyDescent="0.25">
      <c r="A96" s="42">
        <v>46256</v>
      </c>
      <c r="B96" s="45">
        <v>0.95016203703703705</v>
      </c>
      <c r="C96" s="1">
        <v>110</v>
      </c>
      <c r="D96" s="50" t="s">
        <v>222</v>
      </c>
      <c r="E96" s="1" t="s">
        <v>58</v>
      </c>
      <c r="F96" s="49">
        <v>24000</v>
      </c>
      <c r="G96" s="1" t="s">
        <v>157</v>
      </c>
      <c r="H96" s="1"/>
    </row>
    <row r="97" spans="1:8" x14ac:dyDescent="0.25">
      <c r="A97" s="42">
        <v>46256</v>
      </c>
      <c r="B97" s="45">
        <v>0.95016203703703705</v>
      </c>
      <c r="C97" s="1">
        <v>111</v>
      </c>
      <c r="D97" s="50" t="s">
        <v>223</v>
      </c>
      <c r="E97" s="1" t="s">
        <v>154</v>
      </c>
      <c r="F97" s="49">
        <v>10000</v>
      </c>
      <c r="G97" s="1" t="s">
        <v>157</v>
      </c>
      <c r="H97" s="1"/>
    </row>
    <row r="98" spans="1:8" x14ac:dyDescent="0.25">
      <c r="A98" s="42">
        <v>46256</v>
      </c>
      <c r="B98" s="45">
        <v>0.95016203703703705</v>
      </c>
      <c r="C98" s="1">
        <v>112</v>
      </c>
      <c r="D98" s="50" t="s">
        <v>178</v>
      </c>
      <c r="E98" s="1" t="s">
        <v>154</v>
      </c>
      <c r="F98" s="47">
        <v>33000</v>
      </c>
      <c r="G98" s="1" t="s">
        <v>157</v>
      </c>
      <c r="H98" s="1"/>
    </row>
    <row r="99" spans="1:8" x14ac:dyDescent="0.25">
      <c r="A99" s="42">
        <v>46256</v>
      </c>
      <c r="B99" s="45">
        <v>0.95016203703703705</v>
      </c>
      <c r="C99" s="1">
        <v>113</v>
      </c>
      <c r="D99" s="50" t="s">
        <v>224</v>
      </c>
      <c r="E99" s="1" t="s">
        <v>58</v>
      </c>
      <c r="F99" s="49">
        <v>29000</v>
      </c>
      <c r="G99" s="1" t="s">
        <v>157</v>
      </c>
      <c r="H99" s="1"/>
    </row>
    <row r="100" spans="1:8" x14ac:dyDescent="0.25">
      <c r="A100" s="42">
        <v>46256</v>
      </c>
      <c r="B100" s="45">
        <v>0.95016203703703705</v>
      </c>
      <c r="C100" s="1">
        <v>114</v>
      </c>
      <c r="D100" s="50" t="s">
        <v>192</v>
      </c>
      <c r="E100" s="1" t="s">
        <v>154</v>
      </c>
      <c r="F100" s="49">
        <v>32000</v>
      </c>
      <c r="G100" s="1" t="s">
        <v>157</v>
      </c>
      <c r="H100" s="1"/>
    </row>
    <row r="101" spans="1:8" x14ac:dyDescent="0.25">
      <c r="A101" s="42">
        <v>46256</v>
      </c>
      <c r="B101" s="45">
        <v>0.95016203703703705</v>
      </c>
      <c r="C101" s="1">
        <v>115</v>
      </c>
      <c r="D101" s="50" t="s">
        <v>134</v>
      </c>
      <c r="E101" s="1" t="s">
        <v>58</v>
      </c>
      <c r="F101" s="49">
        <v>12000</v>
      </c>
      <c r="G101" s="1" t="s">
        <v>157</v>
      </c>
      <c r="H101" s="1"/>
    </row>
    <row r="102" spans="1:8" x14ac:dyDescent="0.25">
      <c r="A102" s="42">
        <v>46256</v>
      </c>
      <c r="B102" s="45">
        <v>0.95016203703703705</v>
      </c>
      <c r="C102" s="1">
        <v>116</v>
      </c>
      <c r="D102" s="50" t="s">
        <v>134</v>
      </c>
      <c r="E102" s="1" t="s">
        <v>58</v>
      </c>
      <c r="F102" s="49">
        <v>32000</v>
      </c>
      <c r="G102" s="1" t="s">
        <v>157</v>
      </c>
      <c r="H102" s="1"/>
    </row>
    <row r="103" spans="1:8" x14ac:dyDescent="0.25">
      <c r="A103" s="42">
        <v>46256</v>
      </c>
      <c r="B103" s="45">
        <v>0.95016203703703705</v>
      </c>
      <c r="C103" s="1">
        <v>117</v>
      </c>
      <c r="D103" s="50" t="s">
        <v>225</v>
      </c>
      <c r="E103" s="1" t="s">
        <v>58</v>
      </c>
      <c r="F103" s="49">
        <v>16000</v>
      </c>
      <c r="G103" s="1" t="s">
        <v>157</v>
      </c>
      <c r="H103" s="1"/>
    </row>
    <row r="104" spans="1:8" x14ac:dyDescent="0.25">
      <c r="A104" s="42">
        <v>46256</v>
      </c>
      <c r="B104" s="45">
        <v>0.95016203703703705</v>
      </c>
      <c r="C104" s="1">
        <v>118</v>
      </c>
      <c r="D104" s="50" t="s">
        <v>226</v>
      </c>
      <c r="E104" s="1" t="s">
        <v>58</v>
      </c>
      <c r="F104" s="49">
        <v>14000</v>
      </c>
      <c r="G104" s="1" t="s">
        <v>157</v>
      </c>
      <c r="H104" s="1"/>
    </row>
    <row r="105" spans="1:8" x14ac:dyDescent="0.25">
      <c r="A105" s="42">
        <v>46256</v>
      </c>
      <c r="B105" s="45">
        <v>0.95016203703703705</v>
      </c>
      <c r="C105" s="1">
        <v>119</v>
      </c>
      <c r="D105" s="50" t="s">
        <v>227</v>
      </c>
      <c r="E105" s="1" t="s">
        <v>154</v>
      </c>
      <c r="F105" s="49">
        <v>28000</v>
      </c>
      <c r="G105" s="1" t="s">
        <v>157</v>
      </c>
      <c r="H105" s="1"/>
    </row>
    <row r="106" spans="1:8" x14ac:dyDescent="0.25">
      <c r="A106" s="42">
        <v>46256</v>
      </c>
      <c r="B106" s="45">
        <v>0.95016203703703705</v>
      </c>
      <c r="C106" s="1">
        <v>120</v>
      </c>
      <c r="D106" s="50" t="s">
        <v>43</v>
      </c>
      <c r="E106" s="1" t="s">
        <v>154</v>
      </c>
      <c r="F106" s="49">
        <v>32000</v>
      </c>
      <c r="G106" s="1" t="s">
        <v>157</v>
      </c>
      <c r="H106" s="1"/>
    </row>
    <row r="107" spans="1:8" x14ac:dyDescent="0.25">
      <c r="A107" s="42">
        <v>46256</v>
      </c>
      <c r="B107" s="45">
        <v>0.95016203703703705</v>
      </c>
      <c r="C107" s="1">
        <v>121</v>
      </c>
      <c r="D107" s="50" t="s">
        <v>134</v>
      </c>
      <c r="E107" s="1" t="s">
        <v>154</v>
      </c>
      <c r="F107" s="49">
        <v>22000</v>
      </c>
      <c r="G107" s="1" t="s">
        <v>157</v>
      </c>
      <c r="H107" s="1"/>
    </row>
    <row r="108" spans="1:8" x14ac:dyDescent="0.25">
      <c r="A108" s="42">
        <v>46260</v>
      </c>
      <c r="B108" s="45">
        <v>0.95016203703703705</v>
      </c>
      <c r="C108" s="1">
        <v>122</v>
      </c>
      <c r="D108" s="50" t="s">
        <v>178</v>
      </c>
      <c r="E108" s="1" t="s">
        <v>58</v>
      </c>
      <c r="F108" s="49">
        <v>13000</v>
      </c>
      <c r="G108" s="1" t="s">
        <v>157</v>
      </c>
      <c r="H108" s="1"/>
    </row>
    <row r="109" spans="1:8" x14ac:dyDescent="0.25">
      <c r="A109" s="42">
        <v>46260</v>
      </c>
      <c r="B109" s="45">
        <v>0.95016203703703705</v>
      </c>
      <c r="C109" s="1">
        <v>123</v>
      </c>
      <c r="D109" s="50" t="s">
        <v>228</v>
      </c>
      <c r="E109" s="1" t="s">
        <v>58</v>
      </c>
      <c r="F109" s="49">
        <v>30000</v>
      </c>
      <c r="G109" s="1" t="s">
        <v>157</v>
      </c>
      <c r="H109" s="1"/>
    </row>
    <row r="110" spans="1:8" x14ac:dyDescent="0.25">
      <c r="A110" s="42">
        <v>46260</v>
      </c>
      <c r="B110" s="45">
        <v>0.95016203703703705</v>
      </c>
      <c r="C110" s="1">
        <v>124</v>
      </c>
      <c r="D110" s="50" t="s">
        <v>42</v>
      </c>
      <c r="E110" s="1" t="s">
        <v>58</v>
      </c>
      <c r="F110" s="49">
        <v>28000</v>
      </c>
      <c r="G110" s="1" t="s">
        <v>157</v>
      </c>
      <c r="H110" s="1"/>
    </row>
    <row r="111" spans="1:8" x14ac:dyDescent="0.25">
      <c r="A111" s="42">
        <v>46260</v>
      </c>
      <c r="B111" s="45">
        <v>0.95016203703703705</v>
      </c>
      <c r="C111" s="1">
        <v>125</v>
      </c>
      <c r="D111" s="50" t="s">
        <v>134</v>
      </c>
      <c r="E111" s="1" t="s">
        <v>58</v>
      </c>
      <c r="F111" s="49">
        <v>12000</v>
      </c>
      <c r="G111" s="1" t="s">
        <v>157</v>
      </c>
      <c r="H111" s="1"/>
    </row>
    <row r="112" spans="1:8" x14ac:dyDescent="0.25">
      <c r="A112" s="42">
        <v>46260</v>
      </c>
      <c r="B112" s="45">
        <v>0.95016203703703705</v>
      </c>
      <c r="C112" s="1">
        <v>126</v>
      </c>
      <c r="D112" s="50" t="s">
        <v>229</v>
      </c>
      <c r="E112" s="1" t="s">
        <v>154</v>
      </c>
      <c r="F112" s="49">
        <v>40000</v>
      </c>
      <c r="G112" s="1" t="s">
        <v>157</v>
      </c>
      <c r="H112" s="1"/>
    </row>
    <row r="113" spans="1:8" x14ac:dyDescent="0.25">
      <c r="A113" s="42">
        <v>46260</v>
      </c>
      <c r="B113" s="45">
        <v>0.95016203703703705</v>
      </c>
      <c r="C113" s="1">
        <v>127</v>
      </c>
      <c r="D113" s="50" t="s">
        <v>43</v>
      </c>
      <c r="E113" s="1" t="s">
        <v>58</v>
      </c>
      <c r="F113" s="49">
        <v>23000</v>
      </c>
      <c r="G113" s="1" t="s">
        <v>157</v>
      </c>
      <c r="H113" s="1"/>
    </row>
    <row r="114" spans="1:8" x14ac:dyDescent="0.25">
      <c r="A114" s="42">
        <v>46260</v>
      </c>
      <c r="B114" s="45">
        <v>0.95016203703703705</v>
      </c>
      <c r="C114" s="1">
        <v>128</v>
      </c>
      <c r="D114" s="50" t="s">
        <v>199</v>
      </c>
      <c r="E114" s="1" t="s">
        <v>58</v>
      </c>
      <c r="F114" s="49">
        <v>16800</v>
      </c>
      <c r="G114" s="1" t="s">
        <v>157</v>
      </c>
      <c r="H114" s="1"/>
    </row>
    <row r="115" spans="1:8" x14ac:dyDescent="0.25">
      <c r="A115" s="42">
        <v>46261</v>
      </c>
      <c r="B115" s="45">
        <v>0.95016203703703705</v>
      </c>
      <c r="C115" s="1">
        <v>129</v>
      </c>
      <c r="D115" s="50" t="s">
        <v>134</v>
      </c>
      <c r="E115" s="1" t="s">
        <v>154</v>
      </c>
      <c r="F115" s="49">
        <v>18000</v>
      </c>
      <c r="G115" s="1" t="s">
        <v>157</v>
      </c>
      <c r="H115" s="1"/>
    </row>
    <row r="116" spans="1:8" x14ac:dyDescent="0.25">
      <c r="A116" s="42">
        <v>46261</v>
      </c>
      <c r="B116" s="45">
        <v>0.95016203703703705</v>
      </c>
      <c r="C116" s="1">
        <v>130</v>
      </c>
      <c r="D116" s="50" t="s">
        <v>230</v>
      </c>
      <c r="E116" s="1" t="s">
        <v>58</v>
      </c>
      <c r="F116" s="49">
        <v>12000</v>
      </c>
      <c r="G116" s="1" t="s">
        <v>157</v>
      </c>
      <c r="H116" s="1"/>
    </row>
    <row r="117" spans="1:8" x14ac:dyDescent="0.25">
      <c r="A117" s="42">
        <v>46261</v>
      </c>
      <c r="B117" s="45">
        <v>0.95016203703703705</v>
      </c>
      <c r="C117" s="1">
        <v>131</v>
      </c>
      <c r="D117" s="50" t="s">
        <v>231</v>
      </c>
      <c r="E117" s="1" t="s">
        <v>58</v>
      </c>
      <c r="F117" s="49">
        <v>20000</v>
      </c>
      <c r="G117" s="1" t="s">
        <v>157</v>
      </c>
      <c r="H117" s="1"/>
    </row>
    <row r="118" spans="1:8" x14ac:dyDescent="0.25">
      <c r="A118" s="42">
        <v>46261</v>
      </c>
      <c r="B118" s="45">
        <v>0.95016203703703705</v>
      </c>
      <c r="C118" s="1">
        <v>132</v>
      </c>
      <c r="D118" s="50" t="s">
        <v>134</v>
      </c>
      <c r="E118" s="1" t="s">
        <v>58</v>
      </c>
      <c r="F118" s="49">
        <v>6000</v>
      </c>
      <c r="G118" s="1" t="s">
        <v>157</v>
      </c>
      <c r="H118" s="1"/>
    </row>
    <row r="119" spans="1:8" x14ac:dyDescent="0.25">
      <c r="A119" s="42">
        <v>46261</v>
      </c>
      <c r="B119" s="45">
        <v>0.95016203703703705</v>
      </c>
      <c r="C119" s="1">
        <v>133</v>
      </c>
      <c r="D119" s="50" t="s">
        <v>134</v>
      </c>
      <c r="E119" s="1" t="s">
        <v>58</v>
      </c>
      <c r="F119" s="49">
        <v>6000</v>
      </c>
      <c r="G119" s="1" t="s">
        <v>157</v>
      </c>
      <c r="H119" s="1"/>
    </row>
    <row r="120" spans="1:8" x14ac:dyDescent="0.25">
      <c r="A120" s="42">
        <v>46261</v>
      </c>
      <c r="B120" s="45">
        <v>0.95016203703703705</v>
      </c>
      <c r="C120" s="1">
        <v>134</v>
      </c>
      <c r="D120" s="50" t="s">
        <v>201</v>
      </c>
      <c r="E120" s="1" t="s">
        <v>154</v>
      </c>
      <c r="F120" s="49">
        <v>25600</v>
      </c>
      <c r="G120" s="1" t="s">
        <v>157</v>
      </c>
      <c r="H120" s="1"/>
    </row>
    <row r="121" spans="1:8" x14ac:dyDescent="0.25">
      <c r="A121" s="42">
        <v>46261</v>
      </c>
      <c r="B121" s="45">
        <v>0.95016203703703705</v>
      </c>
      <c r="C121" s="1">
        <v>136</v>
      </c>
      <c r="D121" s="50" t="s">
        <v>178</v>
      </c>
      <c r="E121" s="1" t="s">
        <v>58</v>
      </c>
      <c r="F121" s="47">
        <v>31000</v>
      </c>
      <c r="G121" s="1" t="s">
        <v>157</v>
      </c>
      <c r="H121" s="1"/>
    </row>
    <row r="122" spans="1:8" x14ac:dyDescent="0.25">
      <c r="A122" s="42">
        <v>46261</v>
      </c>
      <c r="B122" s="45">
        <v>0.95016203703703705</v>
      </c>
      <c r="C122" s="1">
        <v>137</v>
      </c>
      <c r="D122" s="50" t="s">
        <v>43</v>
      </c>
      <c r="E122" s="1" t="s">
        <v>154</v>
      </c>
      <c r="F122" s="49">
        <v>23000</v>
      </c>
      <c r="G122" s="1" t="s">
        <v>157</v>
      </c>
      <c r="H122" s="1"/>
    </row>
    <row r="123" spans="1:8" x14ac:dyDescent="0.25">
      <c r="A123" s="42">
        <v>46261</v>
      </c>
      <c r="B123" s="45">
        <v>0.95016203703703705</v>
      </c>
      <c r="C123" s="1">
        <v>138</v>
      </c>
      <c r="D123" s="50" t="s">
        <v>736</v>
      </c>
      <c r="E123" s="1" t="s">
        <v>58</v>
      </c>
      <c r="F123" s="49">
        <v>31000</v>
      </c>
      <c r="G123" s="1" t="s">
        <v>157</v>
      </c>
      <c r="H123" s="1"/>
    </row>
    <row r="124" spans="1:8" x14ac:dyDescent="0.25">
      <c r="A124" s="42">
        <v>46261</v>
      </c>
      <c r="B124" s="45">
        <v>0.95016203703703705</v>
      </c>
      <c r="C124" s="1">
        <v>139</v>
      </c>
      <c r="D124" s="50" t="s">
        <v>211</v>
      </c>
      <c r="E124" s="1" t="s">
        <v>154</v>
      </c>
      <c r="F124" s="49">
        <v>6000</v>
      </c>
      <c r="G124" s="1" t="s">
        <v>157</v>
      </c>
      <c r="H124" s="1"/>
    </row>
    <row r="125" spans="1:8" x14ac:dyDescent="0.25">
      <c r="A125" s="42">
        <v>46261</v>
      </c>
      <c r="B125" s="45">
        <v>0.95016203703703705</v>
      </c>
      <c r="C125" s="1">
        <v>140</v>
      </c>
      <c r="D125" s="50" t="s">
        <v>210</v>
      </c>
      <c r="E125" s="1" t="s">
        <v>154</v>
      </c>
      <c r="F125" s="49">
        <v>19000</v>
      </c>
      <c r="G125" s="1" t="s">
        <v>157</v>
      </c>
      <c r="H125" s="1"/>
    </row>
    <row r="126" spans="1:8" x14ac:dyDescent="0.25">
      <c r="A126" s="42">
        <v>46261</v>
      </c>
      <c r="B126" s="45">
        <v>0.95016203703703705</v>
      </c>
      <c r="C126" s="1">
        <v>141</v>
      </c>
      <c r="D126" s="50" t="s">
        <v>198</v>
      </c>
      <c r="E126" s="1" t="s">
        <v>154</v>
      </c>
      <c r="F126" s="47">
        <v>25000</v>
      </c>
      <c r="G126" s="1" t="s">
        <v>157</v>
      </c>
      <c r="H126" s="1"/>
    </row>
    <row r="127" spans="1:8" x14ac:dyDescent="0.25">
      <c r="A127" s="42">
        <v>46261</v>
      </c>
      <c r="B127" s="45">
        <v>0.95016203703703705</v>
      </c>
      <c r="C127" s="1">
        <v>142</v>
      </c>
      <c r="D127" s="50" t="s">
        <v>233</v>
      </c>
      <c r="E127" s="1" t="s">
        <v>58</v>
      </c>
      <c r="F127" s="49">
        <v>10000</v>
      </c>
      <c r="G127" s="1" t="s">
        <v>157</v>
      </c>
      <c r="H127" s="1"/>
    </row>
    <row r="128" spans="1:8" x14ac:dyDescent="0.25">
      <c r="A128" s="42">
        <v>46261</v>
      </c>
      <c r="B128" s="45">
        <v>0.95016203703703705</v>
      </c>
      <c r="C128" s="1">
        <v>143</v>
      </c>
      <c r="D128" s="50" t="s">
        <v>134</v>
      </c>
      <c r="E128" s="1" t="s">
        <v>58</v>
      </c>
      <c r="F128" s="49">
        <v>18000</v>
      </c>
      <c r="G128" s="1" t="s">
        <v>157</v>
      </c>
      <c r="H128" s="1"/>
    </row>
    <row r="129" spans="1:8" x14ac:dyDescent="0.25">
      <c r="A129" s="42">
        <v>46261</v>
      </c>
      <c r="B129" s="45">
        <v>0.95016203703703705</v>
      </c>
      <c r="C129" s="1">
        <v>144</v>
      </c>
      <c r="D129" s="50" t="s">
        <v>213</v>
      </c>
      <c r="E129" s="1" t="s">
        <v>154</v>
      </c>
      <c r="F129" s="49">
        <v>10000</v>
      </c>
      <c r="G129" s="1" t="s">
        <v>157</v>
      </c>
      <c r="H129" s="1"/>
    </row>
    <row r="130" spans="1:8" x14ac:dyDescent="0.25">
      <c r="A130" s="42">
        <v>46261</v>
      </c>
      <c r="B130" s="45">
        <v>0.95016203703703705</v>
      </c>
      <c r="C130" s="1">
        <v>145</v>
      </c>
      <c r="D130" s="50" t="s">
        <v>222</v>
      </c>
      <c r="E130" s="1" t="s">
        <v>58</v>
      </c>
      <c r="F130" s="49">
        <v>6000</v>
      </c>
      <c r="G130" s="1" t="s">
        <v>157</v>
      </c>
      <c r="H130" s="1"/>
    </row>
    <row r="131" spans="1:8" x14ac:dyDescent="0.25">
      <c r="A131" s="42">
        <v>46262</v>
      </c>
      <c r="B131" s="45">
        <v>0.95016203703703705</v>
      </c>
      <c r="C131" s="1">
        <v>146</v>
      </c>
      <c r="D131" s="50" t="s">
        <v>232</v>
      </c>
      <c r="E131" s="1" t="s">
        <v>154</v>
      </c>
      <c r="F131" s="49">
        <v>6000</v>
      </c>
      <c r="G131" s="1" t="s">
        <v>157</v>
      </c>
      <c r="H131" s="1"/>
    </row>
    <row r="132" spans="1:8" x14ac:dyDescent="0.25">
      <c r="A132" s="42">
        <v>46262</v>
      </c>
      <c r="B132" s="45">
        <v>0.95016203703703705</v>
      </c>
      <c r="C132" s="1">
        <v>147</v>
      </c>
      <c r="D132" s="50" t="s">
        <v>201</v>
      </c>
      <c r="E132" s="1" t="s">
        <v>58</v>
      </c>
      <c r="F132" s="49">
        <v>9400</v>
      </c>
      <c r="G132" s="1" t="s">
        <v>157</v>
      </c>
      <c r="H132" s="1"/>
    </row>
    <row r="133" spans="1:8" x14ac:dyDescent="0.25">
      <c r="A133" s="42">
        <v>46262</v>
      </c>
      <c r="B133" s="45">
        <v>0.95016203703703705</v>
      </c>
      <c r="C133" s="1">
        <v>149</v>
      </c>
      <c r="D133" s="50" t="s">
        <v>235</v>
      </c>
      <c r="E133" s="1" t="s">
        <v>154</v>
      </c>
      <c r="F133" s="49">
        <v>7000</v>
      </c>
      <c r="G133" s="1" t="s">
        <v>157</v>
      </c>
      <c r="H133" s="1"/>
    </row>
    <row r="134" spans="1:8" x14ac:dyDescent="0.25">
      <c r="A134" s="42">
        <v>46262</v>
      </c>
      <c r="B134" s="45">
        <v>0.95016203703703705</v>
      </c>
      <c r="C134" s="1">
        <v>150</v>
      </c>
      <c r="D134" s="50" t="s">
        <v>236</v>
      </c>
      <c r="E134" s="1" t="s">
        <v>154</v>
      </c>
      <c r="F134" s="49">
        <v>6000</v>
      </c>
      <c r="G134" s="1" t="s">
        <v>157</v>
      </c>
      <c r="H134" s="1"/>
    </row>
    <row r="135" spans="1:8" x14ac:dyDescent="0.25">
      <c r="A135" s="42">
        <v>46263</v>
      </c>
      <c r="B135" s="45">
        <v>0.95016203703703705</v>
      </c>
      <c r="C135" s="1">
        <v>152</v>
      </c>
      <c r="D135" s="50" t="s">
        <v>222</v>
      </c>
      <c r="E135" s="1" t="s">
        <v>154</v>
      </c>
      <c r="F135" s="47">
        <v>16000</v>
      </c>
      <c r="G135" s="1" t="s">
        <v>157</v>
      </c>
      <c r="H135" s="1"/>
    </row>
    <row r="136" spans="1:8" x14ac:dyDescent="0.25">
      <c r="A136" s="42">
        <v>46263</v>
      </c>
      <c r="B136" s="45">
        <v>0.95016203703703705</v>
      </c>
      <c r="C136" s="1">
        <v>153</v>
      </c>
      <c r="D136" s="50" t="s">
        <v>178</v>
      </c>
      <c r="E136" s="1" t="s">
        <v>58</v>
      </c>
      <c r="F136" s="47">
        <v>19000</v>
      </c>
      <c r="G136" s="1" t="s">
        <v>157</v>
      </c>
      <c r="H136" s="1"/>
    </row>
    <row r="137" spans="1:8" x14ac:dyDescent="0.25">
      <c r="A137" s="42">
        <v>46263</v>
      </c>
      <c r="B137" s="45">
        <v>0.95016203703703705</v>
      </c>
      <c r="C137" s="1">
        <v>154</v>
      </c>
      <c r="D137" s="50" t="s">
        <v>168</v>
      </c>
      <c r="E137" s="1" t="s">
        <v>154</v>
      </c>
      <c r="F137" s="47">
        <v>18000</v>
      </c>
      <c r="G137" s="1" t="s">
        <v>157</v>
      </c>
      <c r="H137" s="1"/>
    </row>
    <row r="138" spans="1:8" x14ac:dyDescent="0.25">
      <c r="A138" s="42">
        <v>46263</v>
      </c>
      <c r="B138" s="45">
        <v>0.95016203703703705</v>
      </c>
      <c r="C138" s="1">
        <v>155</v>
      </c>
      <c r="D138" s="50" t="s">
        <v>237</v>
      </c>
      <c r="E138" s="1" t="s">
        <v>58</v>
      </c>
      <c r="F138" s="49">
        <v>26000</v>
      </c>
      <c r="G138" s="1" t="s">
        <v>157</v>
      </c>
      <c r="H138" s="1"/>
    </row>
    <row r="139" spans="1:8" x14ac:dyDescent="0.25">
      <c r="A139" s="42">
        <v>46263</v>
      </c>
      <c r="B139" s="45">
        <v>0.95016203703703705</v>
      </c>
      <c r="C139" s="1">
        <v>156</v>
      </c>
      <c r="D139" s="50" t="s">
        <v>232</v>
      </c>
      <c r="E139" s="1" t="s">
        <v>58</v>
      </c>
      <c r="F139" s="49">
        <v>36000</v>
      </c>
      <c r="G139" s="1" t="s">
        <v>157</v>
      </c>
      <c r="H139" s="1"/>
    </row>
    <row r="140" spans="1:8" x14ac:dyDescent="0.25">
      <c r="A140" s="42">
        <v>46263</v>
      </c>
      <c r="B140" s="45">
        <v>0.95016203703703705</v>
      </c>
      <c r="C140" s="1">
        <v>157</v>
      </c>
      <c r="D140" s="50" t="s">
        <v>209</v>
      </c>
      <c r="E140" s="1" t="s">
        <v>58</v>
      </c>
      <c r="F140" s="49">
        <v>47000</v>
      </c>
      <c r="G140" s="1" t="s">
        <v>157</v>
      </c>
      <c r="H140" s="1"/>
    </row>
    <row r="141" spans="1:8" x14ac:dyDescent="0.25">
      <c r="A141" s="42">
        <v>46263</v>
      </c>
      <c r="B141" s="45">
        <v>0.95016203703703705</v>
      </c>
      <c r="C141" s="1">
        <v>158</v>
      </c>
      <c r="D141" s="50" t="s">
        <v>238</v>
      </c>
      <c r="E141" s="1" t="s">
        <v>58</v>
      </c>
      <c r="F141" s="49">
        <v>24400</v>
      </c>
      <c r="G141" s="1" t="s">
        <v>157</v>
      </c>
      <c r="H141" s="1"/>
    </row>
    <row r="142" spans="1:8" x14ac:dyDescent="0.25">
      <c r="A142" s="42">
        <v>46263</v>
      </c>
      <c r="B142" s="45">
        <v>0.95016203703703705</v>
      </c>
      <c r="C142" s="1">
        <v>159</v>
      </c>
      <c r="D142" s="50" t="s">
        <v>215</v>
      </c>
      <c r="E142" s="1" t="s">
        <v>154</v>
      </c>
      <c r="F142" s="49">
        <v>26000</v>
      </c>
      <c r="G142" s="1" t="s">
        <v>157</v>
      </c>
      <c r="H142" s="1"/>
    </row>
    <row r="143" spans="1:8" x14ac:dyDescent="0.25">
      <c r="A143" s="42">
        <v>46263</v>
      </c>
      <c r="B143" s="45">
        <v>0.95016203703703705</v>
      </c>
      <c r="C143" s="1">
        <v>160</v>
      </c>
      <c r="D143" s="50" t="s">
        <v>43</v>
      </c>
      <c r="E143" s="1" t="s">
        <v>154</v>
      </c>
      <c r="F143" s="49">
        <v>56000</v>
      </c>
      <c r="G143" s="1" t="s">
        <v>157</v>
      </c>
      <c r="H143" s="1"/>
    </row>
    <row r="144" spans="1:8" x14ac:dyDescent="0.25">
      <c r="A144" s="42">
        <v>46263</v>
      </c>
      <c r="B144" s="45">
        <v>0.95016203703703705</v>
      </c>
      <c r="C144" s="1">
        <v>161</v>
      </c>
      <c r="D144" s="50" t="s">
        <v>231</v>
      </c>
      <c r="E144" s="1" t="s">
        <v>58</v>
      </c>
      <c r="F144" s="49">
        <v>10000</v>
      </c>
      <c r="G144" s="1" t="s">
        <v>157</v>
      </c>
      <c r="H144" s="1"/>
    </row>
    <row r="145" spans="1:8" x14ac:dyDescent="0.25">
      <c r="A145" s="42">
        <v>46263</v>
      </c>
      <c r="B145" s="45">
        <v>0.95016203703703705</v>
      </c>
      <c r="C145" s="1">
        <v>162</v>
      </c>
      <c r="D145" s="50" t="s">
        <v>226</v>
      </c>
      <c r="E145" s="1" t="s">
        <v>58</v>
      </c>
      <c r="F145" s="49">
        <v>26000</v>
      </c>
      <c r="G145" s="1" t="s">
        <v>157</v>
      </c>
      <c r="H145" s="1"/>
    </row>
    <row r="146" spans="1:8" x14ac:dyDescent="0.25">
      <c r="A146" s="42">
        <v>46263</v>
      </c>
      <c r="B146" s="45">
        <v>0.95016203703703705</v>
      </c>
      <c r="C146" s="1">
        <v>163</v>
      </c>
      <c r="D146" s="50" t="s">
        <v>166</v>
      </c>
      <c r="E146" s="1" t="s">
        <v>58</v>
      </c>
      <c r="F146" s="47">
        <v>38000</v>
      </c>
      <c r="G146" s="1" t="s">
        <v>157</v>
      </c>
      <c r="H146" s="1"/>
    </row>
    <row r="147" spans="1:8" x14ac:dyDescent="0.25">
      <c r="A147" s="42">
        <v>46263</v>
      </c>
      <c r="B147" s="45">
        <v>0.95016203703703705</v>
      </c>
      <c r="C147" s="1">
        <v>164</v>
      </c>
      <c r="D147" s="50" t="s">
        <v>210</v>
      </c>
      <c r="E147" s="1" t="s">
        <v>58</v>
      </c>
      <c r="F147" s="49">
        <v>14000</v>
      </c>
      <c r="G147" s="1" t="s">
        <v>157</v>
      </c>
      <c r="H147" s="1"/>
    </row>
    <row r="148" spans="1:8" x14ac:dyDescent="0.25">
      <c r="A148" s="42">
        <v>46263</v>
      </c>
      <c r="B148" s="45">
        <v>0.95016203703703705</v>
      </c>
      <c r="C148" s="1">
        <v>165</v>
      </c>
      <c r="D148" s="50" t="s">
        <v>239</v>
      </c>
      <c r="E148" s="1" t="s">
        <v>154</v>
      </c>
      <c r="F148" s="49">
        <v>27000</v>
      </c>
      <c r="G148" s="1" t="s">
        <v>157</v>
      </c>
      <c r="H148" s="1"/>
    </row>
    <row r="149" spans="1:8" x14ac:dyDescent="0.25">
      <c r="A149" s="42">
        <v>46263</v>
      </c>
      <c r="B149" s="45">
        <v>0.95016203703703705</v>
      </c>
      <c r="C149" s="1">
        <v>167</v>
      </c>
      <c r="D149" s="50" t="s">
        <v>134</v>
      </c>
      <c r="E149" s="1" t="s">
        <v>58</v>
      </c>
      <c r="F149" s="49">
        <v>9000</v>
      </c>
      <c r="G149" s="1" t="s">
        <v>157</v>
      </c>
      <c r="H149" s="1"/>
    </row>
    <row r="150" spans="1:8" x14ac:dyDescent="0.25">
      <c r="A150" s="42">
        <v>46263</v>
      </c>
      <c r="B150" s="45">
        <v>0.95016203703703705</v>
      </c>
      <c r="C150" s="1">
        <v>168</v>
      </c>
      <c r="D150" s="50" t="s">
        <v>134</v>
      </c>
      <c r="E150" s="1" t="s">
        <v>58</v>
      </c>
      <c r="F150" s="49">
        <v>36000</v>
      </c>
      <c r="G150" s="1" t="s">
        <v>157</v>
      </c>
      <c r="H150" s="1"/>
    </row>
    <row r="151" spans="1:8" x14ac:dyDescent="0.25">
      <c r="A151" s="42">
        <v>46263</v>
      </c>
      <c r="B151" s="45">
        <v>0.95016203703703705</v>
      </c>
      <c r="C151" s="1">
        <v>169</v>
      </c>
      <c r="D151" s="50" t="s">
        <v>43</v>
      </c>
      <c r="E151" s="1" t="s">
        <v>58</v>
      </c>
      <c r="F151" s="49">
        <v>10000</v>
      </c>
      <c r="G151" s="1" t="s">
        <v>157</v>
      </c>
      <c r="H151" s="1"/>
    </row>
    <row r="152" spans="1:8" x14ac:dyDescent="0.25">
      <c r="A152" s="42">
        <v>46263</v>
      </c>
      <c r="B152" s="45">
        <v>0.95016203703703705</v>
      </c>
      <c r="C152" s="1">
        <v>170</v>
      </c>
      <c r="D152" s="50" t="s">
        <v>232</v>
      </c>
      <c r="E152" s="1" t="s">
        <v>154</v>
      </c>
      <c r="F152" s="49">
        <v>11000</v>
      </c>
      <c r="G152" s="1" t="s">
        <v>157</v>
      </c>
      <c r="H152" s="1"/>
    </row>
    <row r="153" spans="1:8" x14ac:dyDescent="0.25">
      <c r="A153" s="42">
        <v>46267</v>
      </c>
      <c r="B153" s="45">
        <v>0.95016203703703705</v>
      </c>
      <c r="C153" s="1">
        <v>171</v>
      </c>
      <c r="D153" s="50" t="s">
        <v>201</v>
      </c>
      <c r="E153" s="1" t="s">
        <v>154</v>
      </c>
      <c r="F153" s="49">
        <v>38400</v>
      </c>
      <c r="G153" s="1" t="s">
        <v>157</v>
      </c>
      <c r="H153" s="1"/>
    </row>
    <row r="154" spans="1:8" x14ac:dyDescent="0.25">
      <c r="A154" s="42">
        <v>46267</v>
      </c>
      <c r="B154" s="45">
        <v>0.95016203703703705</v>
      </c>
      <c r="C154" s="1">
        <v>172</v>
      </c>
      <c r="D154" s="50" t="s">
        <v>45</v>
      </c>
      <c r="E154" s="1" t="s">
        <v>154</v>
      </c>
      <c r="F154" s="49">
        <v>30000</v>
      </c>
      <c r="G154" s="1" t="s">
        <v>157</v>
      </c>
      <c r="H154" s="1"/>
    </row>
    <row r="155" spans="1:8" x14ac:dyDescent="0.25">
      <c r="A155" s="42">
        <v>46268</v>
      </c>
      <c r="B155" s="45">
        <v>0.95016203703703705</v>
      </c>
      <c r="C155" s="1">
        <v>174</v>
      </c>
      <c r="D155" s="50" t="s">
        <v>229</v>
      </c>
      <c r="E155" s="1" t="s">
        <v>154</v>
      </c>
      <c r="F155" s="49">
        <v>43000</v>
      </c>
      <c r="G155" s="1" t="s">
        <v>157</v>
      </c>
      <c r="H155" s="1"/>
    </row>
    <row r="156" spans="1:8" x14ac:dyDescent="0.25">
      <c r="A156" s="42">
        <v>46268</v>
      </c>
      <c r="B156" s="45">
        <v>0.95016203703703705</v>
      </c>
      <c r="C156" s="1">
        <v>175</v>
      </c>
      <c r="D156" s="50" t="s">
        <v>207</v>
      </c>
      <c r="E156" s="1" t="s">
        <v>58</v>
      </c>
      <c r="F156" s="49">
        <v>30000</v>
      </c>
      <c r="G156" s="1" t="s">
        <v>157</v>
      </c>
      <c r="H156" s="1"/>
    </row>
    <row r="157" spans="1:8" x14ac:dyDescent="0.25">
      <c r="A157" s="42">
        <v>46268</v>
      </c>
      <c r="B157" s="45">
        <v>0.95016203703703705</v>
      </c>
      <c r="C157" s="1">
        <v>176</v>
      </c>
      <c r="D157" s="50" t="s">
        <v>206</v>
      </c>
      <c r="E157" s="1" t="s">
        <v>154</v>
      </c>
      <c r="F157" s="49">
        <v>18800</v>
      </c>
      <c r="G157" s="1" t="s">
        <v>157</v>
      </c>
      <c r="H157" s="1"/>
    </row>
    <row r="158" spans="1:8" x14ac:dyDescent="0.25">
      <c r="A158" s="42">
        <v>46268</v>
      </c>
      <c r="B158" s="45">
        <v>0.95016203703703705</v>
      </c>
      <c r="C158" s="1">
        <v>177</v>
      </c>
      <c r="D158" s="50" t="s">
        <v>208</v>
      </c>
      <c r="E158" s="1" t="s">
        <v>58</v>
      </c>
      <c r="F158" s="49">
        <v>6000</v>
      </c>
      <c r="G158" s="1" t="s">
        <v>157</v>
      </c>
      <c r="H158" s="1"/>
    </row>
    <row r="159" spans="1:8" x14ac:dyDescent="0.25">
      <c r="A159" s="42">
        <v>46268</v>
      </c>
      <c r="B159" s="45">
        <v>0.95016203703703705</v>
      </c>
      <c r="C159" s="1">
        <v>178</v>
      </c>
      <c r="D159" s="50" t="s">
        <v>134</v>
      </c>
      <c r="E159" s="1" t="s">
        <v>58</v>
      </c>
      <c r="F159" s="49">
        <v>6000</v>
      </c>
      <c r="G159" s="1" t="s">
        <v>157</v>
      </c>
      <c r="H159" s="1"/>
    </row>
    <row r="160" spans="1:8" x14ac:dyDescent="0.25">
      <c r="A160" s="42">
        <v>46268</v>
      </c>
      <c r="B160" s="45">
        <v>0.95016203703703705</v>
      </c>
      <c r="C160" s="1">
        <v>179</v>
      </c>
      <c r="D160" s="50" t="s">
        <v>168</v>
      </c>
      <c r="E160" s="1" t="s">
        <v>154</v>
      </c>
      <c r="F160" s="49">
        <v>12000</v>
      </c>
      <c r="G160" s="1" t="s">
        <v>157</v>
      </c>
      <c r="H160" s="1"/>
    </row>
    <row r="161" spans="1:8" x14ac:dyDescent="0.25">
      <c r="A161" s="42">
        <v>46269</v>
      </c>
      <c r="B161" s="45">
        <v>0.95016203703703705</v>
      </c>
      <c r="C161" s="1">
        <v>181</v>
      </c>
      <c r="D161" s="50" t="s">
        <v>45</v>
      </c>
      <c r="E161" s="1" t="s">
        <v>154</v>
      </c>
      <c r="F161" s="49">
        <v>27000</v>
      </c>
      <c r="G161" s="1" t="s">
        <v>157</v>
      </c>
      <c r="H161" s="1"/>
    </row>
    <row r="162" spans="1:8" x14ac:dyDescent="0.25">
      <c r="A162" s="42">
        <v>46269</v>
      </c>
      <c r="B162" s="45">
        <v>0.95016203703703705</v>
      </c>
      <c r="C162" s="1">
        <v>182</v>
      </c>
      <c r="D162" s="50" t="s">
        <v>46</v>
      </c>
      <c r="E162" s="1" t="s">
        <v>154</v>
      </c>
      <c r="F162" s="49">
        <v>12000</v>
      </c>
      <c r="G162" s="1" t="s">
        <v>157</v>
      </c>
      <c r="H162" s="1"/>
    </row>
    <row r="163" spans="1:8" x14ac:dyDescent="0.25">
      <c r="A163" s="42">
        <v>46269</v>
      </c>
      <c r="B163" s="45">
        <v>0.95016203703703705</v>
      </c>
      <c r="C163" s="1">
        <v>184</v>
      </c>
      <c r="D163" s="50" t="s">
        <v>231</v>
      </c>
      <c r="E163" s="1" t="s">
        <v>58</v>
      </c>
      <c r="F163" s="49">
        <v>20000</v>
      </c>
      <c r="G163" s="1" t="s">
        <v>157</v>
      </c>
      <c r="H163" s="1"/>
    </row>
    <row r="164" spans="1:8" x14ac:dyDescent="0.25">
      <c r="A164" s="42">
        <v>46269</v>
      </c>
      <c r="B164" s="45">
        <v>0.95016203703703705</v>
      </c>
      <c r="C164" s="1">
        <v>185</v>
      </c>
      <c r="D164" s="50" t="s">
        <v>213</v>
      </c>
      <c r="E164" s="1" t="s">
        <v>154</v>
      </c>
      <c r="F164" s="49">
        <v>16000</v>
      </c>
      <c r="G164" s="1" t="s">
        <v>157</v>
      </c>
      <c r="H164" s="1"/>
    </row>
    <row r="165" spans="1:8" x14ac:dyDescent="0.25">
      <c r="A165" s="42">
        <v>46269</v>
      </c>
      <c r="B165" s="45">
        <v>0.95016203703703705</v>
      </c>
      <c r="C165" s="1">
        <v>186</v>
      </c>
      <c r="D165" s="50" t="s">
        <v>166</v>
      </c>
      <c r="E165" s="1" t="s">
        <v>58</v>
      </c>
      <c r="F165" s="49">
        <v>65400</v>
      </c>
      <c r="G165" s="1" t="s">
        <v>157</v>
      </c>
      <c r="H165" s="1"/>
    </row>
    <row r="166" spans="1:8" x14ac:dyDescent="0.25">
      <c r="A166" s="42">
        <v>46269</v>
      </c>
      <c r="B166" s="45">
        <v>0.95016203703703705</v>
      </c>
      <c r="C166" s="1">
        <v>187</v>
      </c>
      <c r="D166" s="50" t="s">
        <v>210</v>
      </c>
      <c r="E166" s="1" t="s">
        <v>58</v>
      </c>
      <c r="F166" s="49">
        <v>4000</v>
      </c>
      <c r="G166" s="1" t="s">
        <v>157</v>
      </c>
      <c r="H166" s="1"/>
    </row>
    <row r="167" spans="1:8" x14ac:dyDescent="0.25">
      <c r="A167" s="42">
        <v>46269</v>
      </c>
      <c r="B167" s="45">
        <v>0.95016203703703705</v>
      </c>
      <c r="C167" s="1">
        <v>188</v>
      </c>
      <c r="D167" s="50" t="s">
        <v>42</v>
      </c>
      <c r="E167" s="1" t="s">
        <v>154</v>
      </c>
      <c r="F167" s="49">
        <v>6000</v>
      </c>
      <c r="G167" s="1" t="s">
        <v>157</v>
      </c>
      <c r="H167" s="1"/>
    </row>
    <row r="168" spans="1:8" x14ac:dyDescent="0.25">
      <c r="A168" s="42">
        <v>46269</v>
      </c>
      <c r="B168" s="45">
        <v>0.95016203703703705</v>
      </c>
      <c r="C168" s="1">
        <v>189</v>
      </c>
      <c r="D168" s="50" t="s">
        <v>198</v>
      </c>
      <c r="E168" s="1" t="s">
        <v>154</v>
      </c>
      <c r="F168" s="49">
        <v>47000</v>
      </c>
      <c r="G168" s="1" t="s">
        <v>157</v>
      </c>
      <c r="H168" s="1"/>
    </row>
    <row r="169" spans="1:8" x14ac:dyDescent="0.25">
      <c r="A169" s="42">
        <v>46269</v>
      </c>
      <c r="B169" s="45">
        <v>0.95016203703703705</v>
      </c>
      <c r="C169" s="1">
        <v>190</v>
      </c>
      <c r="D169" s="50" t="s">
        <v>211</v>
      </c>
      <c r="E169" s="1" t="s">
        <v>154</v>
      </c>
      <c r="F169" s="49">
        <v>9000</v>
      </c>
      <c r="G169" s="1" t="s">
        <v>157</v>
      </c>
      <c r="H169" s="1"/>
    </row>
    <row r="170" spans="1:8" x14ac:dyDescent="0.25">
      <c r="A170" s="42">
        <v>46269</v>
      </c>
      <c r="B170" s="45">
        <v>0.95016203703703705</v>
      </c>
      <c r="C170" s="1">
        <v>191</v>
      </c>
      <c r="D170" s="50" t="s">
        <v>249</v>
      </c>
      <c r="E170" s="1" t="s">
        <v>58</v>
      </c>
      <c r="F170" s="49">
        <v>21000</v>
      </c>
      <c r="G170" s="1" t="s">
        <v>157</v>
      </c>
      <c r="H170" s="1"/>
    </row>
    <row r="171" spans="1:8" x14ac:dyDescent="0.25">
      <c r="A171" s="42">
        <v>46269</v>
      </c>
      <c r="B171" s="45">
        <v>0.95016203703703705</v>
      </c>
      <c r="C171" s="1">
        <v>192</v>
      </c>
      <c r="D171" s="50" t="s">
        <v>250</v>
      </c>
      <c r="E171" s="1" t="s">
        <v>58</v>
      </c>
      <c r="F171" s="49">
        <v>20000</v>
      </c>
      <c r="G171" s="1" t="s">
        <v>157</v>
      </c>
      <c r="H171" s="1"/>
    </row>
    <row r="172" spans="1:8" x14ac:dyDescent="0.25">
      <c r="A172" s="42">
        <v>46269</v>
      </c>
      <c r="B172" s="45">
        <v>0.95016203703703705</v>
      </c>
      <c r="C172" s="1">
        <v>193</v>
      </c>
      <c r="D172" s="50" t="s">
        <v>251</v>
      </c>
      <c r="E172" s="1" t="s">
        <v>154</v>
      </c>
      <c r="F172" s="49">
        <v>48000</v>
      </c>
      <c r="G172" s="1" t="s">
        <v>157</v>
      </c>
      <c r="H172" s="1"/>
    </row>
    <row r="173" spans="1:8" x14ac:dyDescent="0.25">
      <c r="A173" s="42">
        <v>46269</v>
      </c>
      <c r="B173" s="45">
        <v>0.95016203703703705</v>
      </c>
      <c r="C173" s="1">
        <v>194</v>
      </c>
      <c r="D173" s="50"/>
      <c r="E173" s="1" t="s">
        <v>154</v>
      </c>
      <c r="G173" s="1" t="s">
        <v>157</v>
      </c>
      <c r="H173" s="1"/>
    </row>
    <row r="174" spans="1:8" x14ac:dyDescent="0.25">
      <c r="A174" s="42">
        <v>46269</v>
      </c>
      <c r="B174" s="45">
        <v>0.95016203703703705</v>
      </c>
      <c r="C174" s="1">
        <v>195</v>
      </c>
      <c r="D174" s="50" t="s">
        <v>231</v>
      </c>
      <c r="E174" s="1" t="s">
        <v>58</v>
      </c>
      <c r="F174" s="49">
        <v>4000</v>
      </c>
      <c r="G174" s="1" t="s">
        <v>157</v>
      </c>
      <c r="H174" s="1"/>
    </row>
    <row r="175" spans="1:8" x14ac:dyDescent="0.25">
      <c r="A175" s="42">
        <v>46269</v>
      </c>
      <c r="B175" s="45">
        <v>0.95016203703703705</v>
      </c>
      <c r="C175" s="1">
        <v>196</v>
      </c>
      <c r="D175" s="50" t="s">
        <v>43</v>
      </c>
      <c r="E175" s="1" t="s">
        <v>58</v>
      </c>
      <c r="F175" s="49">
        <v>3000</v>
      </c>
      <c r="G175" s="1" t="s">
        <v>157</v>
      </c>
      <c r="H175" s="1"/>
    </row>
    <row r="176" spans="1:8" x14ac:dyDescent="0.25">
      <c r="A176" s="42">
        <v>46269</v>
      </c>
      <c r="B176" s="45">
        <v>0.95016203703703705</v>
      </c>
      <c r="C176" s="1">
        <v>197</v>
      </c>
      <c r="D176" s="50" t="s">
        <v>177</v>
      </c>
      <c r="E176" s="1" t="s">
        <v>58</v>
      </c>
      <c r="F176" s="49">
        <v>10000</v>
      </c>
      <c r="G176" s="1" t="s">
        <v>157</v>
      </c>
      <c r="H176" s="1"/>
    </row>
    <row r="177" spans="1:8" x14ac:dyDescent="0.25">
      <c r="A177" s="42">
        <v>46269</v>
      </c>
      <c r="B177" s="45">
        <v>0.95016203703703705</v>
      </c>
      <c r="C177" s="1">
        <v>198</v>
      </c>
      <c r="D177" s="50" t="s">
        <v>210</v>
      </c>
      <c r="E177" s="1" t="s">
        <v>154</v>
      </c>
      <c r="F177" s="49">
        <v>10000</v>
      </c>
      <c r="G177" s="1" t="s">
        <v>157</v>
      </c>
      <c r="H177" s="1"/>
    </row>
    <row r="178" spans="1:8" x14ac:dyDescent="0.25">
      <c r="A178" s="42">
        <v>46269</v>
      </c>
      <c r="B178" s="45">
        <v>0.95016203703703705</v>
      </c>
      <c r="C178" s="1">
        <v>199</v>
      </c>
      <c r="D178" s="50" t="s">
        <v>209</v>
      </c>
      <c r="E178" s="1" t="s">
        <v>154</v>
      </c>
      <c r="F178" s="49">
        <v>35000</v>
      </c>
      <c r="G178" s="1" t="s">
        <v>157</v>
      </c>
      <c r="H178" s="1"/>
    </row>
    <row r="179" spans="1:8" x14ac:dyDescent="0.25">
      <c r="A179" s="42">
        <v>46269</v>
      </c>
      <c r="B179" s="45">
        <v>0.95016203703703705</v>
      </c>
      <c r="C179" s="1">
        <v>200</v>
      </c>
      <c r="D179" s="50" t="s">
        <v>255</v>
      </c>
      <c r="E179" s="1" t="s">
        <v>154</v>
      </c>
      <c r="F179" s="49">
        <v>22000</v>
      </c>
      <c r="G179" s="1" t="s">
        <v>157</v>
      </c>
      <c r="H179" s="1"/>
    </row>
    <row r="180" spans="1:8" x14ac:dyDescent="0.25">
      <c r="A180" s="42">
        <v>46269</v>
      </c>
      <c r="B180" s="45">
        <v>0.95016203703703705</v>
      </c>
      <c r="C180" s="1">
        <v>202</v>
      </c>
      <c r="D180" s="50" t="s">
        <v>212</v>
      </c>
      <c r="E180" s="1" t="s">
        <v>58</v>
      </c>
      <c r="F180" s="49">
        <v>6000</v>
      </c>
      <c r="G180" s="1" t="s">
        <v>157</v>
      </c>
      <c r="H180" s="1"/>
    </row>
    <row r="181" spans="1:8" x14ac:dyDescent="0.25">
      <c r="A181" s="42">
        <v>46269</v>
      </c>
      <c r="B181" s="45">
        <v>0.95016203703703705</v>
      </c>
      <c r="C181" s="1">
        <v>203</v>
      </c>
      <c r="D181" s="50" t="s">
        <v>427</v>
      </c>
      <c r="E181" s="1" t="s">
        <v>154</v>
      </c>
      <c r="F181" s="49">
        <v>9000</v>
      </c>
      <c r="G181" s="1" t="s">
        <v>157</v>
      </c>
      <c r="H181" s="1"/>
    </row>
    <row r="182" spans="1:8" x14ac:dyDescent="0.25">
      <c r="A182" s="42">
        <v>46269</v>
      </c>
      <c r="B182" s="45">
        <v>0.95016203703703705</v>
      </c>
      <c r="C182" s="1">
        <v>204</v>
      </c>
      <c r="D182" s="50" t="s">
        <v>254</v>
      </c>
      <c r="E182" s="1" t="s">
        <v>58</v>
      </c>
      <c r="F182" s="49">
        <v>9000</v>
      </c>
      <c r="G182" s="1" t="s">
        <v>157</v>
      </c>
      <c r="H182" s="1"/>
    </row>
    <row r="183" spans="1:8" x14ac:dyDescent="0.25">
      <c r="A183" s="42">
        <v>46269</v>
      </c>
      <c r="B183" s="45">
        <v>0.95016203703703705</v>
      </c>
      <c r="C183" s="1">
        <v>205</v>
      </c>
      <c r="D183" s="50" t="s">
        <v>211</v>
      </c>
      <c r="E183" s="1" t="s">
        <v>58</v>
      </c>
      <c r="F183" s="49">
        <v>6000</v>
      </c>
      <c r="G183" s="1" t="s">
        <v>157</v>
      </c>
      <c r="H183" s="1"/>
    </row>
    <row r="184" spans="1:8" x14ac:dyDescent="0.25">
      <c r="A184" s="42">
        <v>46269</v>
      </c>
      <c r="B184" s="45">
        <v>0.95016203703703705</v>
      </c>
      <c r="C184" s="1">
        <v>206</v>
      </c>
      <c r="D184" s="50" t="s">
        <v>134</v>
      </c>
      <c r="E184" s="1" t="s">
        <v>154</v>
      </c>
      <c r="F184" s="49">
        <v>38000</v>
      </c>
      <c r="G184" s="1" t="s">
        <v>157</v>
      </c>
      <c r="H184" s="1"/>
    </row>
    <row r="185" spans="1:8" x14ac:dyDescent="0.25">
      <c r="A185" s="42">
        <v>46270</v>
      </c>
      <c r="B185" s="45">
        <v>0.95016203703703705</v>
      </c>
      <c r="C185" s="1">
        <v>207</v>
      </c>
      <c r="D185" s="50" t="s">
        <v>43</v>
      </c>
      <c r="E185" s="1" t="s">
        <v>154</v>
      </c>
      <c r="F185" s="49">
        <v>19000</v>
      </c>
      <c r="G185" s="1" t="s">
        <v>157</v>
      </c>
      <c r="H185" s="1"/>
    </row>
    <row r="186" spans="1:8" x14ac:dyDescent="0.25">
      <c r="A186" s="42">
        <v>46270</v>
      </c>
      <c r="B186" s="45">
        <v>0.95016203703703705</v>
      </c>
      <c r="C186" s="1">
        <v>208</v>
      </c>
      <c r="D186" s="50" t="s">
        <v>42</v>
      </c>
      <c r="E186" s="1" t="s">
        <v>58</v>
      </c>
      <c r="F186" s="49">
        <v>30000</v>
      </c>
      <c r="G186" s="1" t="s">
        <v>157</v>
      </c>
      <c r="H186" s="1"/>
    </row>
    <row r="187" spans="1:8" x14ac:dyDescent="0.25">
      <c r="A187" s="42">
        <v>46270</v>
      </c>
      <c r="B187" s="45">
        <v>0.95016203703703705</v>
      </c>
      <c r="C187" s="1">
        <v>209</v>
      </c>
      <c r="D187" s="50" t="s">
        <v>238</v>
      </c>
      <c r="E187" s="1" t="s">
        <v>162</v>
      </c>
      <c r="G187" s="1"/>
      <c r="H187" s="1"/>
    </row>
    <row r="188" spans="1:8" x14ac:dyDescent="0.25">
      <c r="A188" s="42">
        <v>46270</v>
      </c>
      <c r="B188" s="45">
        <v>0.95016203703703705</v>
      </c>
      <c r="C188" s="1">
        <v>211</v>
      </c>
      <c r="D188" s="50" t="s">
        <v>134</v>
      </c>
      <c r="E188" s="1" t="s">
        <v>154</v>
      </c>
      <c r="F188" s="49">
        <v>13000</v>
      </c>
      <c r="G188" s="1" t="s">
        <v>157</v>
      </c>
      <c r="H188" s="1"/>
    </row>
    <row r="189" spans="1:8" x14ac:dyDescent="0.25">
      <c r="A189" s="42">
        <v>46270</v>
      </c>
      <c r="B189" s="45">
        <v>0.95016203703703705</v>
      </c>
      <c r="C189" s="1">
        <v>212</v>
      </c>
      <c r="D189" s="50" t="s">
        <v>234</v>
      </c>
      <c r="E189" s="1" t="s">
        <v>58</v>
      </c>
      <c r="F189" s="49">
        <v>39000</v>
      </c>
      <c r="G189" s="1" t="s">
        <v>157</v>
      </c>
      <c r="H189" s="1"/>
    </row>
    <row r="190" spans="1:8" x14ac:dyDescent="0.25">
      <c r="A190" s="42">
        <v>46270</v>
      </c>
      <c r="B190" s="45">
        <v>0.95016203703703705</v>
      </c>
      <c r="C190" s="1">
        <v>213</v>
      </c>
      <c r="D190" s="50" t="s">
        <v>237</v>
      </c>
      <c r="E190" s="1" t="s">
        <v>58</v>
      </c>
      <c r="F190" s="49">
        <v>32000</v>
      </c>
      <c r="G190" s="1" t="s">
        <v>157</v>
      </c>
      <c r="H190" s="1"/>
    </row>
    <row r="191" spans="1:8" x14ac:dyDescent="0.25">
      <c r="A191" s="42">
        <v>46270</v>
      </c>
      <c r="B191" s="45">
        <v>0.95016203703703705</v>
      </c>
      <c r="C191" s="1">
        <v>214</v>
      </c>
      <c r="D191" s="50" t="s">
        <v>428</v>
      </c>
      <c r="E191" s="1" t="s">
        <v>154</v>
      </c>
      <c r="F191" s="49">
        <v>32000</v>
      </c>
      <c r="G191" s="1" t="s">
        <v>157</v>
      </c>
      <c r="H191" s="1"/>
    </row>
    <row r="192" spans="1:8" x14ac:dyDescent="0.25">
      <c r="A192" s="42">
        <v>46270</v>
      </c>
      <c r="B192" s="45">
        <v>0.95016203703703705</v>
      </c>
      <c r="C192" s="1">
        <v>215</v>
      </c>
      <c r="D192" s="50" t="s">
        <v>168</v>
      </c>
      <c r="E192" s="1" t="s">
        <v>154</v>
      </c>
      <c r="F192" s="49">
        <v>18000</v>
      </c>
      <c r="G192" s="1" t="s">
        <v>157</v>
      </c>
      <c r="H192" s="1"/>
    </row>
    <row r="193" spans="1:8" x14ac:dyDescent="0.25">
      <c r="A193" s="42">
        <v>46270</v>
      </c>
      <c r="B193" s="45">
        <v>0.95016203703703705</v>
      </c>
      <c r="C193" s="1">
        <v>216</v>
      </c>
      <c r="D193" s="50" t="s">
        <v>169</v>
      </c>
      <c r="E193" s="1" t="s">
        <v>58</v>
      </c>
      <c r="F193" s="49">
        <v>20000</v>
      </c>
      <c r="G193" s="1" t="s">
        <v>157</v>
      </c>
      <c r="H193" s="1"/>
    </row>
    <row r="194" spans="1:8" x14ac:dyDescent="0.25">
      <c r="A194" s="42">
        <v>46270</v>
      </c>
      <c r="B194" s="45">
        <v>0.95016203703703705</v>
      </c>
      <c r="C194" s="1">
        <v>216</v>
      </c>
      <c r="D194" s="50" t="s">
        <v>169</v>
      </c>
      <c r="E194" s="1" t="s">
        <v>154</v>
      </c>
      <c r="F194" s="49">
        <v>73400</v>
      </c>
      <c r="G194" s="1" t="s">
        <v>157</v>
      </c>
      <c r="H194" s="1"/>
    </row>
    <row r="195" spans="1:8" x14ac:dyDescent="0.25">
      <c r="A195" s="42">
        <v>46270</v>
      </c>
      <c r="B195" s="45">
        <v>0.95016203703703705</v>
      </c>
      <c r="C195" s="1">
        <v>217</v>
      </c>
      <c r="D195" s="50" t="s">
        <v>44</v>
      </c>
      <c r="E195" s="1" t="s">
        <v>154</v>
      </c>
      <c r="F195" s="49">
        <v>17000</v>
      </c>
      <c r="G195" s="1" t="s">
        <v>157</v>
      </c>
      <c r="H195" s="1"/>
    </row>
    <row r="196" spans="1:8" x14ac:dyDescent="0.25">
      <c r="A196" s="42">
        <v>46270</v>
      </c>
      <c r="B196" s="45">
        <v>0.95016203703703705</v>
      </c>
      <c r="C196" s="1">
        <v>218</v>
      </c>
      <c r="D196" s="50" t="s">
        <v>218</v>
      </c>
      <c r="E196" s="1" t="s">
        <v>154</v>
      </c>
      <c r="F196" s="49">
        <v>28000</v>
      </c>
      <c r="G196" s="1" t="s">
        <v>157</v>
      </c>
      <c r="H196" s="1"/>
    </row>
    <row r="197" spans="1:8" x14ac:dyDescent="0.25">
      <c r="A197" s="42">
        <v>46270</v>
      </c>
      <c r="B197" s="45">
        <v>0.95016203703703705</v>
      </c>
      <c r="C197" s="1">
        <v>219</v>
      </c>
      <c r="D197" s="50" t="s">
        <v>252</v>
      </c>
      <c r="E197" s="1" t="s">
        <v>162</v>
      </c>
      <c r="G197" s="1"/>
      <c r="H197" s="1"/>
    </row>
    <row r="198" spans="1:8" x14ac:dyDescent="0.25">
      <c r="A198" s="42">
        <v>46270</v>
      </c>
      <c r="B198" s="45">
        <v>0.95016203703703705</v>
      </c>
      <c r="C198" s="1">
        <v>220</v>
      </c>
      <c r="D198" s="50" t="s">
        <v>202</v>
      </c>
      <c r="E198" s="1" t="s">
        <v>58</v>
      </c>
      <c r="F198" s="49">
        <v>9400</v>
      </c>
      <c r="G198" s="1" t="s">
        <v>157</v>
      </c>
      <c r="H198" s="1"/>
    </row>
    <row r="199" spans="1:8" x14ac:dyDescent="0.25">
      <c r="A199" s="42">
        <v>46271</v>
      </c>
      <c r="B199" s="45">
        <v>0.86682870370370368</v>
      </c>
      <c r="C199" s="1">
        <v>221</v>
      </c>
      <c r="D199" s="50" t="s">
        <v>134</v>
      </c>
      <c r="E199" s="1" t="s">
        <v>154</v>
      </c>
      <c r="F199" s="49">
        <v>349200</v>
      </c>
      <c r="G199" s="1" t="s">
        <v>157</v>
      </c>
      <c r="H199" s="1"/>
    </row>
    <row r="200" spans="1:8" x14ac:dyDescent="0.25">
      <c r="A200" s="42">
        <v>46274</v>
      </c>
      <c r="B200" s="45">
        <v>0.95016203703703705</v>
      </c>
      <c r="C200" s="1">
        <v>223</v>
      </c>
      <c r="D200" s="50" t="s">
        <v>45</v>
      </c>
      <c r="E200" s="1" t="s">
        <v>154</v>
      </c>
      <c r="F200" s="49">
        <v>6000</v>
      </c>
      <c r="G200" s="1" t="s">
        <v>157</v>
      </c>
      <c r="H200" s="1"/>
    </row>
    <row r="201" spans="1:8" x14ac:dyDescent="0.25">
      <c r="A201" s="42">
        <v>46274</v>
      </c>
      <c r="B201" s="45">
        <v>0.95016203703703705</v>
      </c>
      <c r="C201" s="1">
        <v>224</v>
      </c>
      <c r="D201" s="50" t="s">
        <v>209</v>
      </c>
      <c r="E201" s="1" t="s">
        <v>162</v>
      </c>
      <c r="G201" s="1"/>
      <c r="H201" s="1"/>
    </row>
    <row r="202" spans="1:8" x14ac:dyDescent="0.25">
      <c r="A202" s="42">
        <v>46274</v>
      </c>
      <c r="B202" s="45">
        <v>0.95016203703703705</v>
      </c>
      <c r="C202" s="1">
        <v>225</v>
      </c>
      <c r="D202" s="50" t="s">
        <v>211</v>
      </c>
      <c r="E202" s="1" t="s">
        <v>154</v>
      </c>
      <c r="F202" s="49">
        <v>9000</v>
      </c>
      <c r="G202" s="1" t="s">
        <v>157</v>
      </c>
      <c r="H202" s="1"/>
    </row>
    <row r="203" spans="1:8" x14ac:dyDescent="0.25">
      <c r="A203" s="42">
        <v>46274</v>
      </c>
      <c r="B203" s="45">
        <v>0.95016203703703705</v>
      </c>
      <c r="C203" s="1">
        <v>226</v>
      </c>
      <c r="D203" s="50" t="s">
        <v>430</v>
      </c>
      <c r="E203" s="1" t="s">
        <v>154</v>
      </c>
      <c r="F203" s="49">
        <v>12000</v>
      </c>
      <c r="G203" s="1" t="s">
        <v>157</v>
      </c>
      <c r="H203" s="1"/>
    </row>
    <row r="204" spans="1:8" x14ac:dyDescent="0.25">
      <c r="A204" s="42">
        <v>46274</v>
      </c>
      <c r="B204" s="45">
        <v>0.95016203703703705</v>
      </c>
      <c r="C204" s="1">
        <v>227</v>
      </c>
      <c r="D204" s="50" t="s">
        <v>46</v>
      </c>
      <c r="E204" s="1" t="s">
        <v>154</v>
      </c>
      <c r="F204" s="49">
        <v>12000</v>
      </c>
      <c r="G204" s="1" t="s">
        <v>157</v>
      </c>
      <c r="H204" s="1"/>
    </row>
    <row r="205" spans="1:8" x14ac:dyDescent="0.25">
      <c r="A205" s="42">
        <v>46274</v>
      </c>
      <c r="B205" s="45">
        <v>0.95016203703703705</v>
      </c>
      <c r="C205" s="1">
        <v>228</v>
      </c>
      <c r="D205" s="50" t="s">
        <v>198</v>
      </c>
      <c r="E205" s="1" t="s">
        <v>154</v>
      </c>
      <c r="F205" s="49">
        <v>16000</v>
      </c>
      <c r="G205" s="1" t="s">
        <v>157</v>
      </c>
      <c r="H205" s="1"/>
    </row>
    <row r="206" spans="1:8" x14ac:dyDescent="0.25">
      <c r="A206" s="42">
        <v>46274</v>
      </c>
      <c r="B206" s="45">
        <v>0.95016203703703705</v>
      </c>
      <c r="C206" s="1">
        <v>229</v>
      </c>
      <c r="D206" s="50" t="s">
        <v>43</v>
      </c>
      <c r="E206" s="1" t="s">
        <v>154</v>
      </c>
      <c r="F206" s="49">
        <v>22000</v>
      </c>
      <c r="G206" s="1" t="s">
        <v>157</v>
      </c>
      <c r="H206" s="1"/>
    </row>
    <row r="207" spans="1:8" x14ac:dyDescent="0.25">
      <c r="A207" s="42">
        <v>46274</v>
      </c>
      <c r="B207" s="45">
        <v>0.95016203703703705</v>
      </c>
      <c r="C207" s="1">
        <v>231</v>
      </c>
      <c r="D207" s="50" t="s">
        <v>166</v>
      </c>
      <c r="E207" s="1" t="s">
        <v>58</v>
      </c>
      <c r="F207" s="49">
        <v>6000</v>
      </c>
      <c r="G207" s="1" t="s">
        <v>157</v>
      </c>
      <c r="H207" s="1"/>
    </row>
    <row r="208" spans="1:8" x14ac:dyDescent="0.25">
      <c r="A208" s="42">
        <v>46274</v>
      </c>
      <c r="B208" s="45">
        <v>0.95016203703703705</v>
      </c>
      <c r="C208" s="1">
        <v>232</v>
      </c>
      <c r="D208" s="50" t="s">
        <v>199</v>
      </c>
      <c r="E208" s="1" t="s">
        <v>154</v>
      </c>
      <c r="F208" s="49">
        <v>12000</v>
      </c>
      <c r="G208" s="1" t="s">
        <v>157</v>
      </c>
      <c r="H208" s="1"/>
    </row>
    <row r="209" spans="1:8" x14ac:dyDescent="0.25">
      <c r="A209" s="42">
        <v>46275</v>
      </c>
      <c r="B209" s="45">
        <v>0.95016203703703705</v>
      </c>
      <c r="C209" s="1">
        <v>233</v>
      </c>
      <c r="D209" s="50" t="s">
        <v>211</v>
      </c>
      <c r="E209" s="1" t="s">
        <v>154</v>
      </c>
      <c r="F209" s="49">
        <v>9000</v>
      </c>
      <c r="G209" s="1" t="s">
        <v>157</v>
      </c>
      <c r="H209" s="1"/>
    </row>
    <row r="210" spans="1:8" x14ac:dyDescent="0.25">
      <c r="A210" s="42">
        <v>46275</v>
      </c>
      <c r="B210" s="45">
        <v>0.95016203703703705</v>
      </c>
      <c r="C210" s="1">
        <v>234</v>
      </c>
      <c r="D210" s="50" t="s">
        <v>431</v>
      </c>
      <c r="E210" s="1" t="s">
        <v>154</v>
      </c>
      <c r="F210" s="49">
        <v>30000</v>
      </c>
      <c r="G210" s="1" t="s">
        <v>157</v>
      </c>
      <c r="H210" s="1"/>
    </row>
    <row r="211" spans="1:8" x14ac:dyDescent="0.25">
      <c r="A211" s="42">
        <v>46275</v>
      </c>
      <c r="B211" s="45">
        <v>0.95016203703703705</v>
      </c>
      <c r="C211" s="1">
        <v>235</v>
      </c>
      <c r="D211" s="50" t="s">
        <v>43</v>
      </c>
      <c r="E211" s="1" t="s">
        <v>58</v>
      </c>
      <c r="F211" s="49">
        <v>6000</v>
      </c>
      <c r="G211" s="1" t="s">
        <v>157</v>
      </c>
      <c r="H211" s="1"/>
    </row>
    <row r="212" spans="1:8" x14ac:dyDescent="0.25">
      <c r="A212" s="42">
        <v>46275</v>
      </c>
      <c r="B212" s="45">
        <v>0.95016203703703705</v>
      </c>
      <c r="C212" s="1">
        <v>236</v>
      </c>
      <c r="D212" s="50" t="s">
        <v>212</v>
      </c>
      <c r="E212" s="1" t="s">
        <v>154</v>
      </c>
      <c r="F212" s="49">
        <v>10000</v>
      </c>
      <c r="G212" s="1" t="s">
        <v>157</v>
      </c>
      <c r="H212" s="1"/>
    </row>
    <row r="213" spans="1:8" x14ac:dyDescent="0.25">
      <c r="A213" s="42">
        <v>46275</v>
      </c>
      <c r="B213" s="45">
        <v>0.95016203703703705</v>
      </c>
      <c r="C213" s="1">
        <v>237</v>
      </c>
      <c r="D213" s="50" t="s">
        <v>431</v>
      </c>
      <c r="E213" s="1" t="s">
        <v>154</v>
      </c>
      <c r="F213" s="49">
        <v>35000</v>
      </c>
      <c r="G213" s="1" t="s">
        <v>157</v>
      </c>
      <c r="H213" s="1"/>
    </row>
    <row r="214" spans="1:8" x14ac:dyDescent="0.25">
      <c r="A214" s="42">
        <v>46276</v>
      </c>
      <c r="B214" s="45">
        <v>0.95016203703703705</v>
      </c>
      <c r="C214" s="1">
        <v>238</v>
      </c>
      <c r="D214" s="50" t="s">
        <v>201</v>
      </c>
      <c r="E214" s="1" t="s">
        <v>162</v>
      </c>
      <c r="F214" s="49">
        <v>15600</v>
      </c>
      <c r="G214" s="1" t="s">
        <v>157</v>
      </c>
      <c r="H214" s="1"/>
    </row>
    <row r="215" spans="1:8" x14ac:dyDescent="0.25">
      <c r="A215" s="42">
        <v>46276</v>
      </c>
      <c r="B215" s="45">
        <v>0.95016203703703705</v>
      </c>
      <c r="C215" s="1">
        <v>239</v>
      </c>
      <c r="D215" s="50" t="s">
        <v>230</v>
      </c>
      <c r="E215" s="1" t="s">
        <v>162</v>
      </c>
      <c r="F215" s="49">
        <v>6000</v>
      </c>
      <c r="G215" s="1" t="s">
        <v>157</v>
      </c>
      <c r="H215" s="1"/>
    </row>
    <row r="216" spans="1:8" x14ac:dyDescent="0.25">
      <c r="A216" s="42">
        <v>46276</v>
      </c>
      <c r="B216" s="45">
        <v>0.95016203703703705</v>
      </c>
      <c r="C216" s="1">
        <v>240</v>
      </c>
      <c r="D216" s="50" t="s">
        <v>222</v>
      </c>
      <c r="E216" s="1" t="s">
        <v>154</v>
      </c>
      <c r="F216" s="49">
        <v>21000</v>
      </c>
      <c r="G216" s="1" t="s">
        <v>157</v>
      </c>
      <c r="H216" s="1"/>
    </row>
    <row r="217" spans="1:8" x14ac:dyDescent="0.25">
      <c r="A217" s="42">
        <v>46276</v>
      </c>
      <c r="B217" s="45">
        <v>0.95016203703703705</v>
      </c>
      <c r="C217" s="1">
        <v>241</v>
      </c>
      <c r="D217" s="50" t="s">
        <v>166</v>
      </c>
      <c r="E217" s="1" t="s">
        <v>58</v>
      </c>
      <c r="F217" s="49">
        <v>39000</v>
      </c>
      <c r="G217" s="1" t="s">
        <v>157</v>
      </c>
      <c r="H217" s="1"/>
    </row>
    <row r="218" spans="1:8" x14ac:dyDescent="0.25">
      <c r="A218" s="42">
        <v>46276</v>
      </c>
      <c r="B218" s="45">
        <v>0.95016203703703705</v>
      </c>
      <c r="C218" s="1">
        <v>242</v>
      </c>
      <c r="D218" s="50" t="s">
        <v>432</v>
      </c>
      <c r="E218" s="1" t="s">
        <v>154</v>
      </c>
      <c r="F218" s="49">
        <v>23000</v>
      </c>
      <c r="G218" s="1" t="s">
        <v>157</v>
      </c>
      <c r="H218" s="1"/>
    </row>
    <row r="219" spans="1:8" x14ac:dyDescent="0.25">
      <c r="A219" s="42">
        <v>46276</v>
      </c>
      <c r="B219" s="45">
        <v>0.95016203703703705</v>
      </c>
      <c r="C219" s="1">
        <v>243</v>
      </c>
      <c r="D219" s="50" t="s">
        <v>233</v>
      </c>
      <c r="E219" s="1" t="s">
        <v>154</v>
      </c>
      <c r="F219" s="49">
        <v>9000</v>
      </c>
      <c r="G219" s="1" t="s">
        <v>157</v>
      </c>
      <c r="H219" s="1"/>
    </row>
    <row r="220" spans="1:8" x14ac:dyDescent="0.25">
      <c r="A220" s="42">
        <v>46276</v>
      </c>
      <c r="B220" s="45">
        <v>0.95016203703703705</v>
      </c>
      <c r="C220" s="1">
        <v>244</v>
      </c>
      <c r="D220" s="50" t="s">
        <v>211</v>
      </c>
      <c r="E220" s="1" t="s">
        <v>154</v>
      </c>
      <c r="F220" s="49">
        <v>6000</v>
      </c>
      <c r="G220" s="1" t="s">
        <v>157</v>
      </c>
      <c r="H220" s="1"/>
    </row>
    <row r="221" spans="1:8" x14ac:dyDescent="0.25">
      <c r="A221" s="42">
        <v>46276</v>
      </c>
      <c r="B221" s="45">
        <v>0.95016203703703705</v>
      </c>
      <c r="C221" s="1">
        <v>245</v>
      </c>
      <c r="D221" s="50" t="s">
        <v>43</v>
      </c>
      <c r="E221" s="1" t="s">
        <v>154</v>
      </c>
      <c r="F221" s="49">
        <v>10000</v>
      </c>
      <c r="G221" s="1" t="s">
        <v>157</v>
      </c>
      <c r="H221" s="1"/>
    </row>
    <row r="222" spans="1:8" x14ac:dyDescent="0.25">
      <c r="A222" s="42">
        <v>46276</v>
      </c>
      <c r="B222" s="45">
        <v>0.95016203703703705</v>
      </c>
      <c r="C222" s="1">
        <v>246</v>
      </c>
      <c r="D222" s="50" t="s">
        <v>44</v>
      </c>
      <c r="E222" s="1" t="s">
        <v>154</v>
      </c>
      <c r="F222" s="49">
        <v>19000</v>
      </c>
      <c r="G222" s="1" t="s">
        <v>157</v>
      </c>
      <c r="H222" s="1"/>
    </row>
    <row r="223" spans="1:8" x14ac:dyDescent="0.25">
      <c r="A223" s="42">
        <v>46276</v>
      </c>
      <c r="B223" s="45">
        <v>0.95016203703703705</v>
      </c>
      <c r="C223" s="1">
        <v>247</v>
      </c>
      <c r="D223" s="50" t="s">
        <v>433</v>
      </c>
      <c r="E223" s="1" t="s">
        <v>58</v>
      </c>
      <c r="F223" s="49">
        <v>45000</v>
      </c>
      <c r="G223" s="1" t="s">
        <v>157</v>
      </c>
      <c r="H223" s="1"/>
    </row>
    <row r="224" spans="1:8" x14ac:dyDescent="0.25">
      <c r="A224" s="42">
        <v>46277</v>
      </c>
      <c r="B224" s="45">
        <v>0.95016203703703705</v>
      </c>
      <c r="C224" s="1">
        <v>248</v>
      </c>
      <c r="D224" s="50" t="s">
        <v>434</v>
      </c>
      <c r="E224" s="1" t="s">
        <v>154</v>
      </c>
      <c r="F224" s="49">
        <v>64000</v>
      </c>
      <c r="G224" s="1" t="s">
        <v>157</v>
      </c>
      <c r="H224" s="1"/>
    </row>
    <row r="225" spans="1:8" x14ac:dyDescent="0.25">
      <c r="A225" s="42">
        <v>46277</v>
      </c>
      <c r="B225" s="45">
        <v>0.95016203703703705</v>
      </c>
      <c r="C225" s="1">
        <v>249</v>
      </c>
      <c r="D225" s="50" t="s">
        <v>188</v>
      </c>
      <c r="E225" s="1" t="s">
        <v>58</v>
      </c>
      <c r="F225" s="49">
        <v>38000</v>
      </c>
      <c r="G225" s="1" t="s">
        <v>157</v>
      </c>
      <c r="H225" s="1"/>
    </row>
    <row r="226" spans="1:8" x14ac:dyDescent="0.25">
      <c r="A226" s="42">
        <v>46277</v>
      </c>
      <c r="B226" s="45">
        <v>0.95016203703703705</v>
      </c>
      <c r="C226" s="1">
        <v>250</v>
      </c>
      <c r="D226" s="50" t="s">
        <v>185</v>
      </c>
      <c r="E226" s="1" t="s">
        <v>58</v>
      </c>
      <c r="F226" s="49">
        <v>17000</v>
      </c>
      <c r="G226" s="1" t="s">
        <v>157</v>
      </c>
      <c r="H226" s="1"/>
    </row>
    <row r="227" spans="1:8" x14ac:dyDescent="0.25">
      <c r="A227" s="42">
        <v>46277</v>
      </c>
      <c r="B227" s="45">
        <v>0.95016203703703705</v>
      </c>
      <c r="C227" s="1">
        <v>251</v>
      </c>
      <c r="D227" s="50" t="s">
        <v>440</v>
      </c>
      <c r="E227" s="1" t="s">
        <v>58</v>
      </c>
      <c r="F227" s="49">
        <v>22000</v>
      </c>
      <c r="G227" s="1" t="s">
        <v>157</v>
      </c>
      <c r="H227" s="1"/>
    </row>
    <row r="228" spans="1:8" x14ac:dyDescent="0.25">
      <c r="A228" s="42">
        <v>46277</v>
      </c>
      <c r="B228" s="45">
        <v>0.95016203703703705</v>
      </c>
      <c r="C228" s="1">
        <v>252</v>
      </c>
      <c r="D228" s="50" t="s">
        <v>441</v>
      </c>
      <c r="E228" s="1" t="s">
        <v>154</v>
      </c>
      <c r="F228" s="49">
        <v>16000</v>
      </c>
      <c r="G228" s="1" t="s">
        <v>157</v>
      </c>
      <c r="H228" s="1"/>
    </row>
    <row r="229" spans="1:8" x14ac:dyDescent="0.25">
      <c r="A229" s="42">
        <v>46277</v>
      </c>
      <c r="B229" s="45">
        <v>0.95016203703703705</v>
      </c>
      <c r="C229" s="1">
        <v>253</v>
      </c>
      <c r="D229" s="50" t="s">
        <v>219</v>
      </c>
      <c r="E229" s="1" t="s">
        <v>154</v>
      </c>
      <c r="F229" s="49">
        <v>30000</v>
      </c>
      <c r="G229" s="1" t="s">
        <v>157</v>
      </c>
      <c r="H229" s="1"/>
    </row>
    <row r="230" spans="1:8" x14ac:dyDescent="0.25">
      <c r="A230" s="42">
        <v>46277</v>
      </c>
      <c r="B230" s="45">
        <v>0.95016203703703705</v>
      </c>
      <c r="C230" s="1">
        <v>254</v>
      </c>
      <c r="D230" s="50" t="s">
        <v>904</v>
      </c>
      <c r="E230" s="1" t="s">
        <v>58</v>
      </c>
      <c r="F230" s="49">
        <v>42000</v>
      </c>
      <c r="G230" s="1" t="s">
        <v>157</v>
      </c>
      <c r="H230" s="1"/>
    </row>
    <row r="231" spans="1:8" x14ac:dyDescent="0.25">
      <c r="A231" s="42">
        <v>46277</v>
      </c>
      <c r="B231" s="45">
        <v>0.95016203703703705</v>
      </c>
      <c r="C231" s="1">
        <v>255</v>
      </c>
      <c r="D231" s="50" t="s">
        <v>442</v>
      </c>
      <c r="E231" s="1" t="s">
        <v>154</v>
      </c>
      <c r="F231" s="49">
        <v>38000</v>
      </c>
      <c r="G231" s="1" t="s">
        <v>157</v>
      </c>
      <c r="H231" s="1"/>
    </row>
    <row r="232" spans="1:8" x14ac:dyDescent="0.25">
      <c r="A232" s="42">
        <v>46277</v>
      </c>
      <c r="B232" s="45">
        <v>0.95016203703703705</v>
      </c>
      <c r="C232" s="1">
        <v>256</v>
      </c>
      <c r="D232" s="50" t="s">
        <v>212</v>
      </c>
      <c r="E232" s="1" t="s">
        <v>58</v>
      </c>
      <c r="F232" s="49">
        <v>22000</v>
      </c>
      <c r="G232" s="1" t="s">
        <v>157</v>
      </c>
      <c r="H232" s="1"/>
    </row>
    <row r="233" spans="1:8" x14ac:dyDescent="0.25">
      <c r="A233" s="42">
        <v>46277</v>
      </c>
      <c r="B233" s="45">
        <v>0.95016203703703705</v>
      </c>
      <c r="C233" s="1">
        <v>257</v>
      </c>
      <c r="D233" s="50" t="s">
        <v>250</v>
      </c>
      <c r="E233" s="1" t="s">
        <v>58</v>
      </c>
      <c r="F233" s="49">
        <v>26000</v>
      </c>
      <c r="G233" s="1" t="s">
        <v>157</v>
      </c>
      <c r="H233" s="1"/>
    </row>
    <row r="234" spans="1:8" x14ac:dyDescent="0.25">
      <c r="A234" s="42">
        <v>46277</v>
      </c>
      <c r="B234" s="45">
        <v>0.95016203703703705</v>
      </c>
      <c r="C234" s="1">
        <v>258</v>
      </c>
      <c r="D234" s="50" t="s">
        <v>443</v>
      </c>
      <c r="E234" s="1" t="s">
        <v>58</v>
      </c>
      <c r="F234" s="49">
        <v>40000</v>
      </c>
      <c r="G234" s="1" t="s">
        <v>157</v>
      </c>
      <c r="H234" s="1"/>
    </row>
    <row r="235" spans="1:8" x14ac:dyDescent="0.25">
      <c r="A235" s="42">
        <v>46277</v>
      </c>
      <c r="B235" s="45">
        <v>0.95016203703703705</v>
      </c>
      <c r="C235" s="1">
        <v>259</v>
      </c>
      <c r="D235" s="50" t="s">
        <v>444</v>
      </c>
      <c r="E235" s="1" t="s">
        <v>58</v>
      </c>
      <c r="F235" s="49">
        <v>25000</v>
      </c>
      <c r="G235" s="1" t="s">
        <v>157</v>
      </c>
      <c r="H235" s="1"/>
    </row>
    <row r="236" spans="1:8" x14ac:dyDescent="0.25">
      <c r="A236" s="42">
        <v>46277</v>
      </c>
      <c r="B236" s="45">
        <v>0.95016203703703705</v>
      </c>
      <c r="C236" s="1">
        <v>260</v>
      </c>
      <c r="D236" s="50" t="s">
        <v>445</v>
      </c>
      <c r="E236" s="1" t="s">
        <v>58</v>
      </c>
      <c r="F236" s="49">
        <v>32000</v>
      </c>
      <c r="G236" s="1" t="s">
        <v>157</v>
      </c>
      <c r="H236" s="1"/>
    </row>
    <row r="237" spans="1:8" x14ac:dyDescent="0.25">
      <c r="A237" s="42">
        <v>46277</v>
      </c>
      <c r="B237" s="45">
        <v>0.95016203703703705</v>
      </c>
      <c r="C237" s="1">
        <v>261</v>
      </c>
      <c r="D237" s="50" t="s">
        <v>446</v>
      </c>
      <c r="E237" s="1" t="s">
        <v>154</v>
      </c>
      <c r="F237" s="49">
        <v>28000</v>
      </c>
      <c r="G237" s="1" t="s">
        <v>157</v>
      </c>
      <c r="H237" s="1"/>
    </row>
    <row r="238" spans="1:8" x14ac:dyDescent="0.25">
      <c r="A238" s="42">
        <v>46277</v>
      </c>
      <c r="B238" s="45">
        <v>0.95016203703703705</v>
      </c>
      <c r="C238" s="1">
        <v>262</v>
      </c>
      <c r="D238" s="50" t="s">
        <v>447</v>
      </c>
      <c r="E238" s="1" t="s">
        <v>58</v>
      </c>
      <c r="F238" s="49">
        <v>23000</v>
      </c>
      <c r="G238" s="1" t="s">
        <v>157</v>
      </c>
      <c r="H238" s="1"/>
    </row>
    <row r="239" spans="1:8" x14ac:dyDescent="0.25">
      <c r="A239" s="42">
        <v>46277</v>
      </c>
      <c r="B239" s="45">
        <v>0.95016203703703705</v>
      </c>
      <c r="C239" s="1">
        <v>263</v>
      </c>
      <c r="D239" s="50" t="s">
        <v>448</v>
      </c>
      <c r="E239" s="1" t="s">
        <v>154</v>
      </c>
      <c r="F239" s="49">
        <v>47000</v>
      </c>
      <c r="G239" s="1" t="s">
        <v>157</v>
      </c>
      <c r="H239" s="1"/>
    </row>
    <row r="240" spans="1:8" x14ac:dyDescent="0.25">
      <c r="A240" s="42">
        <v>46277</v>
      </c>
      <c r="B240" s="45">
        <v>0.95016203703703705</v>
      </c>
      <c r="C240" s="1">
        <v>264</v>
      </c>
      <c r="D240" s="50" t="s">
        <v>449</v>
      </c>
      <c r="E240" s="1" t="s">
        <v>58</v>
      </c>
      <c r="F240" s="49">
        <v>18000</v>
      </c>
      <c r="G240" s="1" t="s">
        <v>157</v>
      </c>
      <c r="H240" s="1"/>
    </row>
    <row r="241" spans="1:8" x14ac:dyDescent="0.25">
      <c r="A241" s="42">
        <v>46277</v>
      </c>
      <c r="B241" s="45">
        <v>0.95016203703703705</v>
      </c>
      <c r="C241" s="1">
        <v>267</v>
      </c>
      <c r="D241" s="50" t="s">
        <v>194</v>
      </c>
      <c r="E241" s="1" t="s">
        <v>58</v>
      </c>
      <c r="F241" s="49">
        <v>28000</v>
      </c>
      <c r="G241" s="1" t="s">
        <v>157</v>
      </c>
      <c r="H241" s="1"/>
    </row>
    <row r="242" spans="1:8" x14ac:dyDescent="0.25">
      <c r="A242" s="42">
        <v>46277</v>
      </c>
      <c r="B242" s="45">
        <v>0.95016203703703705</v>
      </c>
      <c r="C242" s="1">
        <v>270</v>
      </c>
      <c r="D242" s="50" t="s">
        <v>195</v>
      </c>
      <c r="E242" s="1" t="s">
        <v>58</v>
      </c>
      <c r="F242" s="49">
        <v>54000</v>
      </c>
      <c r="G242" s="1" t="s">
        <v>157</v>
      </c>
      <c r="H242" s="1"/>
    </row>
    <row r="243" spans="1:8" x14ac:dyDescent="0.25">
      <c r="A243" s="42">
        <v>46277</v>
      </c>
      <c r="B243" s="45">
        <v>0.95016203703703705</v>
      </c>
      <c r="C243" s="1">
        <v>271</v>
      </c>
      <c r="D243" s="50" t="s">
        <v>452</v>
      </c>
      <c r="E243" s="1" t="s">
        <v>58</v>
      </c>
      <c r="F243" s="49">
        <v>31000</v>
      </c>
      <c r="G243" s="1" t="s">
        <v>157</v>
      </c>
      <c r="H243" s="1"/>
    </row>
    <row r="244" spans="1:8" x14ac:dyDescent="0.25">
      <c r="A244" s="42">
        <v>46277</v>
      </c>
      <c r="B244" s="45">
        <v>0.95016203703703705</v>
      </c>
      <c r="C244" s="1">
        <v>272</v>
      </c>
      <c r="D244" s="50" t="s">
        <v>166</v>
      </c>
      <c r="E244" s="1" t="s">
        <v>58</v>
      </c>
      <c r="F244" s="49">
        <v>65800</v>
      </c>
      <c r="G244" s="1" t="s">
        <v>157</v>
      </c>
      <c r="H244" s="1"/>
    </row>
    <row r="245" spans="1:8" x14ac:dyDescent="0.25">
      <c r="A245" s="42">
        <v>46277</v>
      </c>
      <c r="B245" s="45">
        <v>0.95016203703703705</v>
      </c>
      <c r="C245" s="1">
        <v>273</v>
      </c>
      <c r="D245" s="50" t="s">
        <v>453</v>
      </c>
      <c r="E245" s="1" t="s">
        <v>58</v>
      </c>
      <c r="F245" s="49">
        <v>50000</v>
      </c>
      <c r="G245" s="1" t="s">
        <v>157</v>
      </c>
      <c r="H245" s="1"/>
    </row>
    <row r="246" spans="1:8" x14ac:dyDescent="0.25">
      <c r="A246" s="42">
        <v>46281</v>
      </c>
      <c r="B246" s="45">
        <v>0.92019675925925926</v>
      </c>
      <c r="C246" s="1">
        <v>281</v>
      </c>
      <c r="D246" s="50" t="s">
        <v>134</v>
      </c>
      <c r="E246" s="1" t="s">
        <v>58</v>
      </c>
      <c r="F246" s="49">
        <v>6000</v>
      </c>
      <c r="G246" s="1" t="s">
        <v>157</v>
      </c>
      <c r="H246" s="1"/>
    </row>
    <row r="247" spans="1:8" x14ac:dyDescent="0.25">
      <c r="A247" s="42">
        <v>46281</v>
      </c>
      <c r="B247" s="45">
        <v>0.92625000000000002</v>
      </c>
      <c r="C247" s="1">
        <v>282</v>
      </c>
      <c r="D247" s="50" t="s">
        <v>134</v>
      </c>
      <c r="E247" s="1" t="s">
        <v>58</v>
      </c>
      <c r="F247" s="49">
        <v>16000</v>
      </c>
      <c r="G247" s="1" t="s">
        <v>157</v>
      </c>
      <c r="H247" s="1"/>
    </row>
    <row r="248" spans="1:8" x14ac:dyDescent="0.25">
      <c r="A248" s="42">
        <v>46281</v>
      </c>
      <c r="B248" s="45">
        <v>0.93214120370370368</v>
      </c>
      <c r="C248" s="1">
        <v>283</v>
      </c>
      <c r="D248" s="50" t="s">
        <v>134</v>
      </c>
      <c r="E248" s="1" t="s">
        <v>154</v>
      </c>
      <c r="F248" s="49">
        <v>12000</v>
      </c>
      <c r="G248" s="1" t="s">
        <v>157</v>
      </c>
      <c r="H248" s="1"/>
    </row>
    <row r="249" spans="1:8" x14ac:dyDescent="0.25">
      <c r="A249" s="42">
        <v>46281</v>
      </c>
      <c r="B249" s="45">
        <v>0.9344675925925926</v>
      </c>
      <c r="C249" s="1">
        <v>284</v>
      </c>
      <c r="D249" s="50" t="s">
        <v>134</v>
      </c>
      <c r="E249" s="1" t="s">
        <v>58</v>
      </c>
      <c r="F249" s="49">
        <v>30000</v>
      </c>
      <c r="G249" s="1" t="s">
        <v>157</v>
      </c>
      <c r="H249" s="1"/>
    </row>
    <row r="250" spans="1:8" x14ac:dyDescent="0.25">
      <c r="A250" s="42">
        <v>46281</v>
      </c>
      <c r="B250" s="45">
        <v>0.9670023148148148</v>
      </c>
      <c r="C250" s="1">
        <v>287</v>
      </c>
      <c r="D250" s="50" t="s">
        <v>134</v>
      </c>
      <c r="E250" s="1" t="s">
        <v>58</v>
      </c>
      <c r="F250" s="49">
        <v>10200</v>
      </c>
      <c r="G250" s="1" t="s">
        <v>157</v>
      </c>
      <c r="H250" s="1"/>
    </row>
    <row r="251" spans="1:8" x14ac:dyDescent="0.25">
      <c r="A251" s="42">
        <v>46281</v>
      </c>
      <c r="B251" s="45">
        <v>0.96723379629629624</v>
      </c>
      <c r="C251" s="1">
        <v>288</v>
      </c>
      <c r="D251" s="50" t="s">
        <v>134</v>
      </c>
      <c r="E251" s="1" t="s">
        <v>154</v>
      </c>
      <c r="F251" s="49">
        <v>2800</v>
      </c>
      <c r="G251" s="1" t="s">
        <v>157</v>
      </c>
      <c r="H251" s="1"/>
    </row>
    <row r="252" spans="1:8" x14ac:dyDescent="0.25">
      <c r="A252" s="42">
        <v>46281</v>
      </c>
      <c r="B252" s="45">
        <v>0.97982638888888884</v>
      </c>
      <c r="C252" s="1">
        <v>289</v>
      </c>
      <c r="D252" s="50" t="s">
        <v>134</v>
      </c>
      <c r="E252" s="1" t="s">
        <v>154</v>
      </c>
      <c r="F252" s="49">
        <v>9000</v>
      </c>
      <c r="G252" s="1" t="s">
        <v>157</v>
      </c>
      <c r="H252" s="1"/>
    </row>
    <row r="253" spans="1:8" x14ac:dyDescent="0.25">
      <c r="A253" s="42">
        <v>46281</v>
      </c>
      <c r="B253" s="45">
        <v>0.98275462962962967</v>
      </c>
      <c r="C253" s="1">
        <v>289</v>
      </c>
      <c r="D253" s="50" t="s">
        <v>134</v>
      </c>
      <c r="E253" s="1" t="s">
        <v>154</v>
      </c>
      <c r="F253" s="49">
        <v>9000</v>
      </c>
      <c r="G253" s="1" t="s">
        <v>157</v>
      </c>
      <c r="H253" s="1"/>
    </row>
    <row r="254" spans="1:8" x14ac:dyDescent="0.25">
      <c r="A254" s="42">
        <v>46281</v>
      </c>
      <c r="B254" s="45">
        <v>0.98340277777777774</v>
      </c>
      <c r="C254" s="1">
        <v>290</v>
      </c>
      <c r="D254" s="50" t="s">
        <v>134</v>
      </c>
      <c r="E254" s="1" t="s">
        <v>58</v>
      </c>
      <c r="F254" s="49">
        <v>11400</v>
      </c>
      <c r="G254" s="1" t="s">
        <v>157</v>
      </c>
      <c r="H254" s="1"/>
    </row>
    <row r="255" spans="1:8" x14ac:dyDescent="0.25">
      <c r="A255" s="42">
        <v>46281</v>
      </c>
      <c r="B255" s="45">
        <v>0.98362268518518514</v>
      </c>
      <c r="C255" s="1">
        <v>291</v>
      </c>
      <c r="D255" s="50" t="s">
        <v>134</v>
      </c>
      <c r="E255" s="1" t="s">
        <v>58</v>
      </c>
      <c r="F255" s="49">
        <v>1200</v>
      </c>
      <c r="G255" s="1" t="s">
        <v>157</v>
      </c>
      <c r="H255" s="1"/>
    </row>
    <row r="256" spans="1:8" x14ac:dyDescent="0.25">
      <c r="A256" s="42">
        <v>46281</v>
      </c>
      <c r="B256" s="45">
        <v>0.99539351851851854</v>
      </c>
      <c r="C256" s="1">
        <v>292</v>
      </c>
      <c r="D256" s="50" t="s">
        <v>134</v>
      </c>
      <c r="E256" s="1" t="s">
        <v>154</v>
      </c>
      <c r="F256" s="49">
        <v>6000</v>
      </c>
      <c r="G256" s="1" t="s">
        <v>157</v>
      </c>
      <c r="H256" s="1"/>
    </row>
    <row r="257" spans="1:8" x14ac:dyDescent="0.25">
      <c r="A257" s="42">
        <v>46281</v>
      </c>
      <c r="B257" s="45">
        <v>0.99898148148148147</v>
      </c>
      <c r="C257" s="1">
        <v>293</v>
      </c>
      <c r="D257" s="50" t="s">
        <v>134</v>
      </c>
      <c r="E257" s="1" t="s">
        <v>58</v>
      </c>
      <c r="F257" s="49">
        <v>18000</v>
      </c>
      <c r="G257" s="1" t="s">
        <v>157</v>
      </c>
      <c r="H257" s="1"/>
    </row>
    <row r="258" spans="1:8" x14ac:dyDescent="0.25">
      <c r="A258" s="42">
        <v>46281</v>
      </c>
      <c r="B258" s="45">
        <v>0.99898148148148147</v>
      </c>
      <c r="C258" s="1">
        <v>294</v>
      </c>
      <c r="D258" s="50" t="s">
        <v>134</v>
      </c>
      <c r="E258" s="1" t="s">
        <v>58</v>
      </c>
      <c r="F258" s="49">
        <v>6000</v>
      </c>
      <c r="G258" s="1" t="s">
        <v>157</v>
      </c>
      <c r="H258" s="1"/>
    </row>
    <row r="259" spans="1:8" x14ac:dyDescent="0.25">
      <c r="A259" s="42">
        <v>46281</v>
      </c>
      <c r="B259" s="45">
        <v>0.99898148148148147</v>
      </c>
      <c r="C259" s="1">
        <v>285</v>
      </c>
      <c r="D259" s="50" t="s">
        <v>43</v>
      </c>
      <c r="E259" s="1" t="s">
        <v>58</v>
      </c>
      <c r="F259" s="49">
        <v>6000</v>
      </c>
      <c r="G259" s="1" t="s">
        <v>157</v>
      </c>
      <c r="H259" s="1"/>
    </row>
    <row r="260" spans="1:8" x14ac:dyDescent="0.25">
      <c r="A260" s="42">
        <v>46281</v>
      </c>
      <c r="B260" s="45">
        <v>0.99898148148148147</v>
      </c>
      <c r="C260" s="1">
        <v>279</v>
      </c>
      <c r="D260" s="50" t="s">
        <v>168</v>
      </c>
      <c r="E260" s="1" t="s">
        <v>154</v>
      </c>
      <c r="F260" s="49">
        <v>13000</v>
      </c>
      <c r="G260" s="1" t="s">
        <v>157</v>
      </c>
      <c r="H260" s="1"/>
    </row>
    <row r="261" spans="1:8" x14ac:dyDescent="0.25">
      <c r="A261" s="42">
        <v>46281</v>
      </c>
      <c r="B261" s="45">
        <v>0.99898148148148147</v>
      </c>
      <c r="C261" s="1">
        <v>286</v>
      </c>
      <c r="D261" s="50" t="s">
        <v>134</v>
      </c>
      <c r="E261" s="1" t="s">
        <v>58</v>
      </c>
      <c r="F261" s="49">
        <v>6000</v>
      </c>
      <c r="G261" s="1" t="s">
        <v>157</v>
      </c>
      <c r="H261" s="1"/>
    </row>
    <row r="262" spans="1:8" x14ac:dyDescent="0.25">
      <c r="A262" s="42">
        <v>46281</v>
      </c>
      <c r="B262" s="45">
        <v>0.99898148148148147</v>
      </c>
      <c r="C262" s="1">
        <v>280</v>
      </c>
      <c r="D262" s="50" t="s">
        <v>464</v>
      </c>
      <c r="E262" s="1" t="s">
        <v>58</v>
      </c>
      <c r="F262" s="49">
        <v>6000</v>
      </c>
      <c r="G262" s="1" t="s">
        <v>157</v>
      </c>
      <c r="H262" s="1"/>
    </row>
    <row r="263" spans="1:8" x14ac:dyDescent="0.25">
      <c r="A263" s="42">
        <v>46281</v>
      </c>
      <c r="B263" s="45">
        <v>0.99898148148148147</v>
      </c>
      <c r="C263" s="1">
        <v>278</v>
      </c>
      <c r="D263" s="50" t="s">
        <v>463</v>
      </c>
      <c r="E263" s="1" t="s">
        <v>154</v>
      </c>
      <c r="F263" s="49">
        <v>9000</v>
      </c>
      <c r="G263" s="1" t="s">
        <v>157</v>
      </c>
      <c r="H263" s="1"/>
    </row>
    <row r="264" spans="1:8" x14ac:dyDescent="0.25">
      <c r="A264" s="42">
        <v>46281</v>
      </c>
      <c r="B264" s="45">
        <v>0.99898148148148147</v>
      </c>
      <c r="C264" s="1">
        <v>295</v>
      </c>
      <c r="D264" s="50" t="s">
        <v>134</v>
      </c>
      <c r="E264" s="1" t="s">
        <v>58</v>
      </c>
      <c r="F264" s="49">
        <v>4200</v>
      </c>
      <c r="G264" s="1" t="s">
        <v>157</v>
      </c>
      <c r="H264" s="1"/>
    </row>
    <row r="265" spans="1:8" x14ac:dyDescent="0.25">
      <c r="A265" s="42">
        <v>46281</v>
      </c>
      <c r="B265" s="45">
        <v>0.99898148148148147</v>
      </c>
      <c r="C265" s="1">
        <v>276</v>
      </c>
      <c r="D265" s="50" t="s">
        <v>201</v>
      </c>
      <c r="E265" s="1" t="s">
        <v>58</v>
      </c>
      <c r="F265" s="49">
        <v>24000</v>
      </c>
      <c r="G265" s="1" t="s">
        <v>476</v>
      </c>
      <c r="H265" s="1"/>
    </row>
    <row r="266" spans="1:8" x14ac:dyDescent="0.25">
      <c r="A266" s="42">
        <v>46282</v>
      </c>
      <c r="B266" s="45">
        <v>0.71406250000000004</v>
      </c>
      <c r="C266" s="1">
        <v>300</v>
      </c>
      <c r="D266" s="50" t="s">
        <v>477</v>
      </c>
      <c r="E266" s="1" t="s">
        <v>58</v>
      </c>
      <c r="F266" s="49">
        <v>20000</v>
      </c>
      <c r="G266" s="1" t="s">
        <v>157</v>
      </c>
      <c r="H266" s="1"/>
    </row>
    <row r="267" spans="1:8" x14ac:dyDescent="0.25">
      <c r="A267" s="42">
        <v>46282</v>
      </c>
      <c r="B267" s="45">
        <v>0.7141319444444445</v>
      </c>
      <c r="C267" s="1">
        <v>301</v>
      </c>
      <c r="D267" s="50" t="s">
        <v>479</v>
      </c>
      <c r="E267" s="1" t="s">
        <v>58</v>
      </c>
      <c r="F267" s="49">
        <v>6000</v>
      </c>
      <c r="G267" s="1" t="s">
        <v>157</v>
      </c>
      <c r="H267" s="1"/>
    </row>
    <row r="268" spans="1:8" x14ac:dyDescent="0.25">
      <c r="A268" s="42">
        <v>46282</v>
      </c>
      <c r="B268" s="45">
        <v>0.75820601851851854</v>
      </c>
      <c r="C268" s="1">
        <v>298</v>
      </c>
      <c r="D268" s="50" t="s">
        <v>134</v>
      </c>
      <c r="E268" s="1" t="s">
        <v>154</v>
      </c>
      <c r="F268" s="49">
        <v>38000</v>
      </c>
      <c r="G268" s="1" t="s">
        <v>157</v>
      </c>
      <c r="H268" s="1"/>
    </row>
    <row r="269" spans="1:8" x14ac:dyDescent="0.25">
      <c r="A269" s="42">
        <v>46282</v>
      </c>
      <c r="B269" s="45">
        <v>0.75834490740740745</v>
      </c>
      <c r="C269" s="1">
        <v>299</v>
      </c>
      <c r="D269" s="50" t="s">
        <v>134</v>
      </c>
      <c r="E269" s="1" t="s">
        <v>154</v>
      </c>
      <c r="F269" s="49">
        <v>7000</v>
      </c>
      <c r="G269" s="1" t="s">
        <v>157</v>
      </c>
      <c r="H269" s="1"/>
    </row>
    <row r="270" spans="1:8" x14ac:dyDescent="0.25">
      <c r="A270" s="42">
        <v>46282</v>
      </c>
      <c r="B270" s="45">
        <v>0.75944444444444448</v>
      </c>
      <c r="C270" s="1">
        <v>299</v>
      </c>
      <c r="D270" s="50" t="s">
        <v>134</v>
      </c>
      <c r="E270" s="1" t="s">
        <v>154</v>
      </c>
      <c r="F270" s="49">
        <v>7000</v>
      </c>
      <c r="G270" s="1" t="s">
        <v>157</v>
      </c>
      <c r="H270" s="1"/>
    </row>
    <row r="271" spans="1:8" x14ac:dyDescent="0.25">
      <c r="A271" s="42">
        <v>46282</v>
      </c>
      <c r="B271" s="45">
        <v>0.84225694444444443</v>
      </c>
      <c r="C271" s="1">
        <v>309</v>
      </c>
      <c r="D271" s="50" t="s">
        <v>485</v>
      </c>
      <c r="E271" s="1" t="s">
        <v>154</v>
      </c>
      <c r="F271" s="49">
        <v>17000</v>
      </c>
      <c r="G271" s="1" t="s">
        <v>157</v>
      </c>
      <c r="H271" s="1"/>
    </row>
    <row r="272" spans="1:8" x14ac:dyDescent="0.25">
      <c r="A272" s="42">
        <v>46282</v>
      </c>
      <c r="B272" s="45">
        <v>0.88196759259259261</v>
      </c>
      <c r="C272" s="1">
        <v>306</v>
      </c>
      <c r="D272" s="50" t="s">
        <v>210</v>
      </c>
      <c r="E272" s="1" t="s">
        <v>58</v>
      </c>
      <c r="F272" s="49">
        <v>4000</v>
      </c>
      <c r="G272" s="1" t="s">
        <v>157</v>
      </c>
      <c r="H272" s="1"/>
    </row>
    <row r="273" spans="1:8" x14ac:dyDescent="0.25">
      <c r="A273" s="42">
        <v>46282</v>
      </c>
      <c r="B273" s="45">
        <v>0.89635416666666667</v>
      </c>
      <c r="C273" s="1">
        <v>310</v>
      </c>
      <c r="D273" s="50" t="s">
        <v>207</v>
      </c>
      <c r="E273" s="1" t="s">
        <v>58</v>
      </c>
      <c r="F273" s="49">
        <v>12000</v>
      </c>
      <c r="G273" s="1" t="s">
        <v>157</v>
      </c>
      <c r="H273" s="1"/>
    </row>
    <row r="274" spans="1:8" x14ac:dyDescent="0.25">
      <c r="A274" s="42">
        <v>46282</v>
      </c>
      <c r="B274" s="45">
        <v>0.90401620370370372</v>
      </c>
      <c r="C274" s="1">
        <v>303</v>
      </c>
      <c r="D274" s="50" t="s">
        <v>206</v>
      </c>
      <c r="E274" s="1" t="s">
        <v>58</v>
      </c>
      <c r="F274" s="49">
        <v>20000</v>
      </c>
      <c r="G274" s="1" t="s">
        <v>157</v>
      </c>
      <c r="H274" s="1"/>
    </row>
    <row r="275" spans="1:8" x14ac:dyDescent="0.25">
      <c r="A275" s="42">
        <v>46282</v>
      </c>
      <c r="B275" s="45">
        <v>0.92986111111111114</v>
      </c>
      <c r="C275" s="1">
        <v>296</v>
      </c>
      <c r="D275" s="50" t="s">
        <v>208</v>
      </c>
      <c r="E275" s="1" t="s">
        <v>154</v>
      </c>
      <c r="F275" s="49">
        <v>23000</v>
      </c>
      <c r="G275" s="1" t="s">
        <v>157</v>
      </c>
      <c r="H275" s="1"/>
    </row>
    <row r="276" spans="1:8" x14ac:dyDescent="0.25">
      <c r="A276" s="42">
        <v>46282</v>
      </c>
      <c r="B276" s="45">
        <v>0.94552083333333337</v>
      </c>
      <c r="C276" s="1">
        <v>305</v>
      </c>
      <c r="D276" s="50" t="s">
        <v>484</v>
      </c>
      <c r="E276" s="1" t="s">
        <v>58</v>
      </c>
      <c r="F276" s="49">
        <v>9000</v>
      </c>
      <c r="G276" s="1" t="s">
        <v>157</v>
      </c>
      <c r="H276" s="1"/>
    </row>
    <row r="277" spans="1:8" x14ac:dyDescent="0.25">
      <c r="A277" s="42">
        <v>46282</v>
      </c>
      <c r="B277" s="45">
        <v>0.94604166666666667</v>
      </c>
      <c r="C277" s="1">
        <v>308</v>
      </c>
      <c r="D277" s="50" t="s">
        <v>211</v>
      </c>
      <c r="E277" s="1" t="s">
        <v>154</v>
      </c>
      <c r="F277" s="49">
        <v>3000</v>
      </c>
      <c r="G277" s="1" t="s">
        <v>157</v>
      </c>
      <c r="H277" s="1"/>
    </row>
    <row r="278" spans="1:8" x14ac:dyDescent="0.25">
      <c r="A278" s="42">
        <v>46282</v>
      </c>
      <c r="B278" s="45">
        <v>0.94662037037037039</v>
      </c>
      <c r="C278" s="1">
        <v>307</v>
      </c>
      <c r="D278" s="50" t="s">
        <v>43</v>
      </c>
      <c r="E278" s="1" t="s">
        <v>58</v>
      </c>
      <c r="F278" s="49">
        <v>16000</v>
      </c>
      <c r="G278" s="1" t="s">
        <v>157</v>
      </c>
      <c r="H278" s="1"/>
    </row>
    <row r="279" spans="1:8" x14ac:dyDescent="0.25">
      <c r="A279" s="42">
        <v>46282</v>
      </c>
      <c r="B279" s="45">
        <v>0.94687500000000002</v>
      </c>
      <c r="C279" s="1">
        <v>313</v>
      </c>
      <c r="D279" s="50" t="s">
        <v>212</v>
      </c>
      <c r="E279" s="1" t="s">
        <v>154</v>
      </c>
      <c r="F279" s="49">
        <v>10000</v>
      </c>
      <c r="G279" s="1" t="s">
        <v>157</v>
      </c>
      <c r="H279" s="1"/>
    </row>
    <row r="280" spans="1:8" x14ac:dyDescent="0.25">
      <c r="A280" s="42">
        <v>46282</v>
      </c>
      <c r="B280" s="45">
        <v>0.94693287037037033</v>
      </c>
      <c r="C280" s="1">
        <v>312</v>
      </c>
      <c r="D280" s="50" t="s">
        <v>213</v>
      </c>
      <c r="E280" s="1" t="s">
        <v>154</v>
      </c>
      <c r="F280" s="49">
        <v>10000</v>
      </c>
      <c r="G280" s="1" t="s">
        <v>157</v>
      </c>
      <c r="H280" s="1"/>
    </row>
    <row r="281" spans="1:8" x14ac:dyDescent="0.25">
      <c r="A281" s="42">
        <v>46282</v>
      </c>
      <c r="B281" s="45">
        <v>0.95925925925925926</v>
      </c>
      <c r="C281" s="1">
        <v>315</v>
      </c>
      <c r="D281" s="50" t="s">
        <v>43</v>
      </c>
      <c r="E281" s="1" t="s">
        <v>58</v>
      </c>
      <c r="F281" s="49">
        <v>10000</v>
      </c>
      <c r="G281" s="1" t="s">
        <v>157</v>
      </c>
      <c r="H281" s="1"/>
    </row>
    <row r="282" spans="1:8" x14ac:dyDescent="0.25">
      <c r="A282" s="42">
        <v>46282</v>
      </c>
      <c r="B282" s="45">
        <v>0.98577546296296292</v>
      </c>
      <c r="C282" s="1">
        <v>314</v>
      </c>
      <c r="D282" s="50" t="s">
        <v>503</v>
      </c>
      <c r="E282" s="1" t="s">
        <v>154</v>
      </c>
      <c r="F282" s="49">
        <v>20000</v>
      </c>
      <c r="G282" s="1" t="s">
        <v>157</v>
      </c>
      <c r="H282" s="1"/>
    </row>
    <row r="283" spans="1:8" x14ac:dyDescent="0.25">
      <c r="A283" s="42">
        <v>46283</v>
      </c>
      <c r="B283" s="45">
        <v>0.6537384259259259</v>
      </c>
      <c r="C283" s="1">
        <v>304</v>
      </c>
      <c r="D283" s="50" t="s">
        <v>134</v>
      </c>
      <c r="E283" s="1" t="s">
        <v>58</v>
      </c>
      <c r="F283" s="49">
        <v>3000</v>
      </c>
      <c r="G283" s="1" t="s">
        <v>157</v>
      </c>
      <c r="H283" s="1"/>
    </row>
    <row r="284" spans="1:8" x14ac:dyDescent="0.25">
      <c r="A284" s="42">
        <v>46283</v>
      </c>
      <c r="B284" s="45">
        <v>0.83179398148148154</v>
      </c>
      <c r="C284" s="1">
        <v>316</v>
      </c>
      <c r="D284" s="50" t="s">
        <v>134</v>
      </c>
      <c r="E284" s="1" t="s">
        <v>58</v>
      </c>
      <c r="F284" s="49">
        <v>6000</v>
      </c>
      <c r="G284" s="1" t="s">
        <v>157</v>
      </c>
      <c r="H284" s="1"/>
    </row>
    <row r="285" spans="1:8" x14ac:dyDescent="0.25">
      <c r="A285" s="42">
        <v>46283</v>
      </c>
      <c r="B285" s="45">
        <v>0.8634722222222222</v>
      </c>
      <c r="C285" s="1">
        <v>319</v>
      </c>
      <c r="D285" s="50" t="s">
        <v>203</v>
      </c>
      <c r="E285" s="1" t="s">
        <v>58</v>
      </c>
      <c r="F285" s="49">
        <v>49600</v>
      </c>
      <c r="G285" s="1" t="s">
        <v>157</v>
      </c>
      <c r="H285" s="1"/>
    </row>
    <row r="286" spans="1:8" x14ac:dyDescent="0.25">
      <c r="A286" s="42">
        <v>46283</v>
      </c>
      <c r="B286" s="45">
        <v>0.88451388888888893</v>
      </c>
      <c r="C286" s="1">
        <v>323</v>
      </c>
      <c r="D286" s="50" t="s">
        <v>42</v>
      </c>
      <c r="E286" s="1" t="s">
        <v>58</v>
      </c>
      <c r="F286" s="49">
        <v>18000</v>
      </c>
      <c r="G286" s="1" t="s">
        <v>157</v>
      </c>
      <c r="H286" s="1"/>
    </row>
    <row r="287" spans="1:8" ht="30" x14ac:dyDescent="0.25">
      <c r="A287" s="42">
        <v>46283</v>
      </c>
      <c r="B287" s="45">
        <v>0.88496527777777778</v>
      </c>
      <c r="C287" s="1">
        <v>222</v>
      </c>
      <c r="D287" s="50" t="s">
        <v>42</v>
      </c>
      <c r="E287" s="1" t="s">
        <v>58</v>
      </c>
      <c r="F287" s="49">
        <v>28000</v>
      </c>
      <c r="G287" s="1" t="s">
        <v>521</v>
      </c>
      <c r="H287" s="1" t="s">
        <v>522</v>
      </c>
    </row>
    <row r="288" spans="1:8" x14ac:dyDescent="0.25">
      <c r="A288" s="42">
        <v>46283</v>
      </c>
      <c r="B288" s="45">
        <v>0.90203703703703708</v>
      </c>
      <c r="C288" s="1">
        <v>327</v>
      </c>
      <c r="D288" s="50" t="s">
        <v>134</v>
      </c>
      <c r="E288" s="1" t="s">
        <v>154</v>
      </c>
      <c r="F288" s="49">
        <v>12000</v>
      </c>
      <c r="G288" s="1" t="s">
        <v>157</v>
      </c>
      <c r="H288" s="1"/>
    </row>
    <row r="289" spans="1:8" x14ac:dyDescent="0.25">
      <c r="A289" s="42">
        <v>46283</v>
      </c>
      <c r="B289" s="45">
        <v>0.92684027777777778</v>
      </c>
      <c r="C289" s="1">
        <v>324</v>
      </c>
      <c r="D289" s="50" t="s">
        <v>503</v>
      </c>
      <c r="E289" s="1" t="s">
        <v>58</v>
      </c>
      <c r="F289" s="49">
        <v>36000</v>
      </c>
      <c r="G289" s="1" t="s">
        <v>157</v>
      </c>
      <c r="H289" s="1"/>
    </row>
    <row r="290" spans="1:8" ht="30" x14ac:dyDescent="0.25">
      <c r="A290" s="42">
        <v>46283</v>
      </c>
      <c r="B290" s="45">
        <v>0.92982638888888891</v>
      </c>
      <c r="C290" s="1">
        <v>330</v>
      </c>
      <c r="D290" s="50" t="s">
        <v>523</v>
      </c>
      <c r="E290" s="1" t="s">
        <v>58</v>
      </c>
      <c r="F290" s="49">
        <v>6000</v>
      </c>
      <c r="G290" s="1" t="s">
        <v>157</v>
      </c>
      <c r="H290" s="1"/>
    </row>
    <row r="291" spans="1:8" x14ac:dyDescent="0.25">
      <c r="A291" s="42">
        <v>46283</v>
      </c>
      <c r="B291" s="45">
        <v>0.92991898148148144</v>
      </c>
      <c r="C291" s="1">
        <v>326</v>
      </c>
      <c r="D291" s="50" t="s">
        <v>134</v>
      </c>
      <c r="E291" s="1" t="s">
        <v>58</v>
      </c>
      <c r="F291" s="49">
        <v>6000</v>
      </c>
      <c r="G291" s="1" t="s">
        <v>157</v>
      </c>
      <c r="H291" s="1"/>
    </row>
    <row r="292" spans="1:8" x14ac:dyDescent="0.25">
      <c r="A292" s="42">
        <v>46283</v>
      </c>
      <c r="B292" s="45">
        <v>0.93008101851851854</v>
      </c>
      <c r="C292" s="1">
        <v>318</v>
      </c>
      <c r="D292" s="50" t="s">
        <v>211</v>
      </c>
      <c r="E292" s="1" t="s">
        <v>154</v>
      </c>
      <c r="F292" s="49">
        <v>9000</v>
      </c>
      <c r="G292" s="1" t="s">
        <v>157</v>
      </c>
      <c r="H292" s="1"/>
    </row>
    <row r="293" spans="1:8" x14ac:dyDescent="0.25">
      <c r="A293" s="42">
        <v>46283</v>
      </c>
      <c r="B293" s="45">
        <v>0.93325231481481485</v>
      </c>
      <c r="C293" s="1">
        <v>317</v>
      </c>
      <c r="D293" s="50" t="s">
        <v>213</v>
      </c>
      <c r="E293" s="1" t="s">
        <v>154</v>
      </c>
      <c r="F293" s="49">
        <v>16000</v>
      </c>
      <c r="G293" s="1" t="s">
        <v>157</v>
      </c>
      <c r="H293" s="1"/>
    </row>
    <row r="294" spans="1:8" x14ac:dyDescent="0.25">
      <c r="A294" s="42">
        <v>46283</v>
      </c>
      <c r="B294" s="45">
        <v>0.93815972222222221</v>
      </c>
      <c r="C294" s="1">
        <v>321</v>
      </c>
      <c r="D294" s="50" t="s">
        <v>515</v>
      </c>
      <c r="E294" s="1" t="s">
        <v>58</v>
      </c>
      <c r="F294" s="49">
        <v>6000</v>
      </c>
      <c r="G294" s="1" t="s">
        <v>157</v>
      </c>
      <c r="H294" s="1"/>
    </row>
    <row r="295" spans="1:8" x14ac:dyDescent="0.25">
      <c r="A295" s="42">
        <v>46283</v>
      </c>
      <c r="B295" s="45">
        <v>0.93835648148148143</v>
      </c>
      <c r="C295" s="1">
        <v>320</v>
      </c>
      <c r="D295" s="50" t="s">
        <v>43</v>
      </c>
      <c r="E295" s="1" t="s">
        <v>154</v>
      </c>
      <c r="F295" s="49">
        <v>21000</v>
      </c>
      <c r="G295" s="1" t="s">
        <v>157</v>
      </c>
      <c r="H295" s="1"/>
    </row>
    <row r="296" spans="1:8" x14ac:dyDescent="0.25">
      <c r="A296" s="42">
        <v>46283</v>
      </c>
      <c r="B296" s="45">
        <v>0.96261574074074074</v>
      </c>
      <c r="C296" s="1">
        <v>325</v>
      </c>
      <c r="D296" s="50" t="s">
        <v>233</v>
      </c>
      <c r="E296" s="1" t="s">
        <v>58</v>
      </c>
      <c r="F296" s="49">
        <v>6000</v>
      </c>
      <c r="G296" s="1" t="s">
        <v>157</v>
      </c>
      <c r="H296" s="1"/>
    </row>
    <row r="297" spans="1:8" x14ac:dyDescent="0.25">
      <c r="A297" s="42">
        <v>46283</v>
      </c>
      <c r="B297" s="45">
        <v>0.97515046296296293</v>
      </c>
      <c r="C297" s="1">
        <v>338</v>
      </c>
      <c r="D297" s="50" t="s">
        <v>134</v>
      </c>
      <c r="E297" s="1" t="s">
        <v>154</v>
      </c>
      <c r="F297" s="49">
        <v>9000</v>
      </c>
      <c r="G297" s="1" t="s">
        <v>157</v>
      </c>
      <c r="H297" s="1"/>
    </row>
    <row r="298" spans="1:8" x14ac:dyDescent="0.25">
      <c r="A298" s="42">
        <v>46283</v>
      </c>
      <c r="B298" s="45">
        <v>0.98075231481481484</v>
      </c>
      <c r="C298" s="1">
        <v>336</v>
      </c>
      <c r="D298" s="50" t="s">
        <v>515</v>
      </c>
      <c r="E298" s="1" t="s">
        <v>154</v>
      </c>
      <c r="F298" s="49">
        <v>10000</v>
      </c>
      <c r="G298" s="1" t="s">
        <v>157</v>
      </c>
      <c r="H298" s="1"/>
    </row>
    <row r="299" spans="1:8" x14ac:dyDescent="0.25">
      <c r="A299" s="42">
        <v>46283</v>
      </c>
      <c r="B299" s="45">
        <v>0.98107638888888893</v>
      </c>
      <c r="C299" s="1">
        <v>335</v>
      </c>
      <c r="D299" s="50" t="s">
        <v>134</v>
      </c>
      <c r="E299" s="1" t="s">
        <v>154</v>
      </c>
      <c r="F299" s="49">
        <v>10000</v>
      </c>
      <c r="G299" s="1" t="s">
        <v>157</v>
      </c>
      <c r="H299" s="1"/>
    </row>
    <row r="300" spans="1:8" x14ac:dyDescent="0.25">
      <c r="A300" s="42">
        <v>46283</v>
      </c>
      <c r="B300" s="45">
        <v>0.98932870370370374</v>
      </c>
      <c r="C300" s="1">
        <v>322</v>
      </c>
      <c r="D300" s="50" t="s">
        <v>516</v>
      </c>
      <c r="E300" s="1" t="s">
        <v>154</v>
      </c>
      <c r="F300" s="49">
        <v>24000</v>
      </c>
      <c r="G300" s="1" t="s">
        <v>157</v>
      </c>
      <c r="H300" s="1"/>
    </row>
    <row r="301" spans="1:8" x14ac:dyDescent="0.25">
      <c r="A301" s="42">
        <v>46284</v>
      </c>
      <c r="B301" s="45">
        <v>1.0810185185185185E-2</v>
      </c>
      <c r="C301" s="1">
        <v>328</v>
      </c>
      <c r="D301" s="50" t="s">
        <v>168</v>
      </c>
      <c r="E301" s="1" t="s">
        <v>154</v>
      </c>
      <c r="F301" s="49">
        <v>13000</v>
      </c>
      <c r="G301" s="1" t="s">
        <v>157</v>
      </c>
      <c r="H301" s="1"/>
    </row>
    <row r="302" spans="1:8" x14ac:dyDescent="0.25">
      <c r="A302" s="42">
        <v>46284</v>
      </c>
      <c r="B302" s="45">
        <v>3.1284722222222221E-2</v>
      </c>
      <c r="C302" s="1">
        <v>332</v>
      </c>
      <c r="D302" s="50" t="s">
        <v>526</v>
      </c>
      <c r="E302" s="1" t="s">
        <v>58</v>
      </c>
      <c r="F302" s="49">
        <v>104000</v>
      </c>
      <c r="G302" s="1" t="s">
        <v>157</v>
      </c>
      <c r="H302" s="1"/>
    </row>
    <row r="303" spans="1:8" x14ac:dyDescent="0.25">
      <c r="A303" s="42">
        <v>46284</v>
      </c>
      <c r="B303" s="45">
        <v>3.2337962962962964E-2</v>
      </c>
      <c r="C303" s="1">
        <v>333</v>
      </c>
      <c r="D303" s="50" t="s">
        <v>166</v>
      </c>
      <c r="E303" s="1" t="s">
        <v>58</v>
      </c>
      <c r="F303" s="49">
        <v>14000</v>
      </c>
      <c r="G303" s="1" t="s">
        <v>157</v>
      </c>
      <c r="H303" s="1"/>
    </row>
    <row r="304" spans="1:8" x14ac:dyDescent="0.25">
      <c r="A304" s="42">
        <v>46284</v>
      </c>
      <c r="B304" s="45">
        <v>3.3506944444444443E-2</v>
      </c>
      <c r="C304" s="1">
        <v>340</v>
      </c>
      <c r="D304" s="50" t="s">
        <v>199</v>
      </c>
      <c r="E304" s="1" t="s">
        <v>154</v>
      </c>
      <c r="F304" s="49">
        <v>24000</v>
      </c>
      <c r="G304" s="1" t="s">
        <v>157</v>
      </c>
      <c r="H304" s="1"/>
    </row>
    <row r="305" spans="1:8" x14ac:dyDescent="0.25">
      <c r="A305" s="42">
        <v>46284</v>
      </c>
      <c r="B305" s="45">
        <v>3.9328703703703706E-2</v>
      </c>
      <c r="C305" s="1">
        <v>329</v>
      </c>
      <c r="D305" s="50" t="s">
        <v>524</v>
      </c>
      <c r="E305" s="1" t="s">
        <v>154</v>
      </c>
      <c r="F305" s="49">
        <v>6000</v>
      </c>
      <c r="G305" s="1" t="s">
        <v>157</v>
      </c>
      <c r="H305" s="1"/>
    </row>
    <row r="306" spans="1:8" x14ac:dyDescent="0.25">
      <c r="A306" s="42">
        <v>46284</v>
      </c>
      <c r="B306" s="45">
        <v>4.1458333333333333E-2</v>
      </c>
      <c r="C306" s="1">
        <v>339</v>
      </c>
      <c r="D306" s="50" t="s">
        <v>503</v>
      </c>
      <c r="E306" s="1" t="s">
        <v>154</v>
      </c>
      <c r="F306" s="49">
        <v>28000</v>
      </c>
      <c r="G306" s="1" t="s">
        <v>157</v>
      </c>
      <c r="H306" s="1"/>
    </row>
    <row r="307" spans="1:8" x14ac:dyDescent="0.25">
      <c r="A307" s="42">
        <v>46284</v>
      </c>
      <c r="B307" s="45">
        <v>4.2511574074074077E-2</v>
      </c>
      <c r="C307" s="1">
        <v>341</v>
      </c>
      <c r="D307" s="50" t="s">
        <v>43</v>
      </c>
      <c r="E307" s="1" t="s">
        <v>58</v>
      </c>
      <c r="F307" s="49">
        <v>7000</v>
      </c>
      <c r="G307" s="1" t="s">
        <v>157</v>
      </c>
      <c r="H307" s="1"/>
    </row>
    <row r="308" spans="1:8" x14ac:dyDescent="0.25">
      <c r="A308" s="42">
        <v>46284</v>
      </c>
      <c r="B308" s="45">
        <v>6.2245370370370368E-2</v>
      </c>
      <c r="C308" s="1">
        <v>334</v>
      </c>
      <c r="D308" s="50" t="s">
        <v>213</v>
      </c>
      <c r="E308" s="1" t="s">
        <v>58</v>
      </c>
      <c r="F308" s="49">
        <v>6000</v>
      </c>
      <c r="G308" s="1" t="s">
        <v>157</v>
      </c>
      <c r="H308" s="1"/>
    </row>
    <row r="309" spans="1:8" x14ac:dyDescent="0.25">
      <c r="A309" s="42">
        <v>46284</v>
      </c>
      <c r="B309" s="45">
        <v>8.4027777777777785E-2</v>
      </c>
      <c r="C309" s="1">
        <v>331</v>
      </c>
      <c r="D309" s="50" t="s">
        <v>203</v>
      </c>
      <c r="E309" s="1" t="s">
        <v>58</v>
      </c>
      <c r="F309" s="49">
        <v>76000</v>
      </c>
      <c r="G309" s="1" t="s">
        <v>157</v>
      </c>
      <c r="H309" s="1"/>
    </row>
    <row r="310" spans="1:8" x14ac:dyDescent="0.25">
      <c r="A310" s="42">
        <v>46284</v>
      </c>
      <c r="B310" s="45">
        <v>8.5601851851851846E-2</v>
      </c>
      <c r="C310" s="1">
        <v>342</v>
      </c>
      <c r="D310" s="50" t="s">
        <v>203</v>
      </c>
      <c r="E310" s="1" t="s">
        <v>58</v>
      </c>
      <c r="F310" s="49">
        <v>9000</v>
      </c>
      <c r="G310" s="1" t="s">
        <v>157</v>
      </c>
      <c r="H310" s="1"/>
    </row>
    <row r="311" spans="1:8" x14ac:dyDescent="0.25">
      <c r="A311" s="42">
        <v>46284</v>
      </c>
      <c r="B311" s="45">
        <v>0.87062499999999998</v>
      </c>
      <c r="C311" s="1">
        <v>343</v>
      </c>
      <c r="D311" s="50" t="s">
        <v>126</v>
      </c>
      <c r="E311" s="1" t="s">
        <v>154</v>
      </c>
      <c r="F311" s="49">
        <v>59000</v>
      </c>
      <c r="G311" s="1" t="s">
        <v>157</v>
      </c>
      <c r="H311" s="1"/>
    </row>
    <row r="312" spans="1:8" x14ac:dyDescent="0.25">
      <c r="A312" s="42">
        <v>46284</v>
      </c>
      <c r="B312" s="45">
        <v>0.88320601851851854</v>
      </c>
      <c r="C312" s="1">
        <v>345</v>
      </c>
      <c r="D312" s="50" t="s">
        <v>216</v>
      </c>
      <c r="E312" s="1" t="s">
        <v>58</v>
      </c>
      <c r="F312" s="49">
        <v>12000</v>
      </c>
      <c r="G312" s="1" t="s">
        <v>157</v>
      </c>
      <c r="H312" s="1"/>
    </row>
    <row r="313" spans="1:8" x14ac:dyDescent="0.25">
      <c r="A313" s="42">
        <v>46284</v>
      </c>
      <c r="B313" s="45">
        <v>0.96143518518518523</v>
      </c>
      <c r="C313" s="1">
        <v>347</v>
      </c>
      <c r="D313" s="50" t="s">
        <v>134</v>
      </c>
      <c r="E313" s="1" t="s">
        <v>58</v>
      </c>
      <c r="F313" s="49">
        <v>6000</v>
      </c>
      <c r="G313" s="1" t="s">
        <v>157</v>
      </c>
      <c r="H313" s="1"/>
    </row>
    <row r="314" spans="1:8" x14ac:dyDescent="0.25">
      <c r="A314" s="42">
        <v>46284</v>
      </c>
      <c r="B314" s="45">
        <v>0.97954861111111113</v>
      </c>
      <c r="C314" s="1">
        <v>349</v>
      </c>
      <c r="D314" s="50" t="s">
        <v>203</v>
      </c>
      <c r="E314" s="1" t="s">
        <v>58</v>
      </c>
      <c r="F314" s="49">
        <v>31600</v>
      </c>
      <c r="G314" s="1" t="s">
        <v>157</v>
      </c>
      <c r="H314" s="1"/>
    </row>
    <row r="315" spans="1:8" x14ac:dyDescent="0.25">
      <c r="A315" s="42">
        <v>46284</v>
      </c>
      <c r="B315" s="45">
        <v>0.97962962962962963</v>
      </c>
      <c r="C315" s="1">
        <v>348</v>
      </c>
      <c r="D315" s="50" t="s">
        <v>201</v>
      </c>
      <c r="E315" s="1" t="s">
        <v>58</v>
      </c>
      <c r="F315" s="49">
        <v>4000</v>
      </c>
      <c r="G315" s="1" t="s">
        <v>157</v>
      </c>
      <c r="H315" s="1"/>
    </row>
    <row r="316" spans="1:8" x14ac:dyDescent="0.25">
      <c r="A316" s="42">
        <v>46284</v>
      </c>
      <c r="B316" s="45">
        <v>0.9907407407407407</v>
      </c>
      <c r="C316" s="1">
        <v>353</v>
      </c>
      <c r="D316" s="50" t="s">
        <v>166</v>
      </c>
      <c r="E316" s="1" t="s">
        <v>58</v>
      </c>
      <c r="F316" s="49">
        <v>12000</v>
      </c>
      <c r="G316" s="1" t="s">
        <v>157</v>
      </c>
      <c r="H316" s="1"/>
    </row>
    <row r="317" spans="1:8" x14ac:dyDescent="0.25">
      <c r="A317" s="42">
        <v>46284</v>
      </c>
      <c r="B317" s="45">
        <v>0.99256944444444439</v>
      </c>
      <c r="C317" s="1">
        <v>350</v>
      </c>
      <c r="D317" s="50" t="s">
        <v>42</v>
      </c>
      <c r="E317" s="1" t="s">
        <v>58</v>
      </c>
      <c r="F317" s="49">
        <v>20000</v>
      </c>
      <c r="G317" s="1" t="s">
        <v>157</v>
      </c>
      <c r="H317" s="1"/>
    </row>
    <row r="318" spans="1:8" x14ac:dyDescent="0.25">
      <c r="A318" s="42">
        <v>46284</v>
      </c>
      <c r="B318" s="45">
        <v>0.99554398148148149</v>
      </c>
      <c r="C318" s="1">
        <v>352</v>
      </c>
      <c r="D318" s="50" t="s">
        <v>134</v>
      </c>
      <c r="E318" s="1" t="s">
        <v>58</v>
      </c>
      <c r="F318" s="49">
        <v>10000</v>
      </c>
      <c r="G318" s="1" t="s">
        <v>157</v>
      </c>
      <c r="H318" s="1"/>
    </row>
    <row r="319" spans="1:8" x14ac:dyDescent="0.25">
      <c r="A319" s="42">
        <v>46285</v>
      </c>
      <c r="B319" s="45">
        <v>3.3449074074074076E-3</v>
      </c>
      <c r="C319" s="1">
        <v>351</v>
      </c>
      <c r="D319" s="50" t="s">
        <v>568</v>
      </c>
      <c r="E319" s="1" t="s">
        <v>58</v>
      </c>
      <c r="F319" s="49">
        <v>13000</v>
      </c>
      <c r="G319" s="1" t="s">
        <v>157</v>
      </c>
      <c r="H319" s="1"/>
    </row>
    <row r="320" spans="1:8" x14ac:dyDescent="0.25">
      <c r="A320" s="42">
        <v>46285</v>
      </c>
      <c r="B320" s="45">
        <v>7.0717592592592594E-3</v>
      </c>
      <c r="C320" s="1">
        <v>346</v>
      </c>
      <c r="D320" s="50" t="s">
        <v>43</v>
      </c>
      <c r="E320" s="1" t="s">
        <v>154</v>
      </c>
      <c r="F320" s="49">
        <v>26800</v>
      </c>
      <c r="G320" s="1" t="s">
        <v>157</v>
      </c>
      <c r="H320" s="1"/>
    </row>
    <row r="321" spans="1:8" x14ac:dyDescent="0.25">
      <c r="A321" s="42">
        <v>46288</v>
      </c>
      <c r="B321" s="45">
        <v>0.65076388888888892</v>
      </c>
      <c r="C321" s="1">
        <v>356</v>
      </c>
      <c r="D321" s="50" t="s">
        <v>503</v>
      </c>
      <c r="E321" s="1" t="s">
        <v>154</v>
      </c>
      <c r="F321" s="49">
        <v>20400</v>
      </c>
      <c r="G321" s="1" t="s">
        <v>157</v>
      </c>
      <c r="H321" s="1"/>
    </row>
    <row r="322" spans="1:8" x14ac:dyDescent="0.25">
      <c r="A322" s="42">
        <v>46288</v>
      </c>
      <c r="B322" s="45">
        <v>0.65280092592592598</v>
      </c>
      <c r="C322" s="1">
        <v>359</v>
      </c>
      <c r="D322" s="50" t="s">
        <v>202</v>
      </c>
      <c r="E322" s="1" t="s">
        <v>58</v>
      </c>
      <c r="F322" s="49">
        <v>21000</v>
      </c>
      <c r="G322" s="1" t="s">
        <v>157</v>
      </c>
      <c r="H322" s="1"/>
    </row>
    <row r="323" spans="1:8" x14ac:dyDescent="0.25">
      <c r="A323" s="42">
        <v>46288</v>
      </c>
      <c r="B323" s="45">
        <v>0.87233796296296295</v>
      </c>
      <c r="C323" s="1">
        <v>366</v>
      </c>
      <c r="D323" s="50" t="s">
        <v>46</v>
      </c>
      <c r="E323" s="1" t="s">
        <v>154</v>
      </c>
      <c r="F323" s="49">
        <v>42000</v>
      </c>
      <c r="G323" s="1" t="s">
        <v>157</v>
      </c>
      <c r="H323" s="1"/>
    </row>
    <row r="324" spans="1:8" x14ac:dyDescent="0.25">
      <c r="A324" s="42">
        <v>46288</v>
      </c>
      <c r="B324" s="45">
        <v>0.87271990740740746</v>
      </c>
      <c r="C324" s="1">
        <v>367</v>
      </c>
      <c r="D324" s="50" t="s">
        <v>629</v>
      </c>
      <c r="E324" s="1" t="s">
        <v>58</v>
      </c>
      <c r="F324" s="49">
        <v>32000</v>
      </c>
      <c r="G324" s="1" t="s">
        <v>157</v>
      </c>
      <c r="H324" s="1"/>
    </row>
    <row r="325" spans="1:8" x14ac:dyDescent="0.25">
      <c r="A325" s="42">
        <v>46288</v>
      </c>
      <c r="B325" s="45">
        <v>0.87288194444444445</v>
      </c>
      <c r="C325" s="1">
        <v>360</v>
      </c>
      <c r="D325" s="50" t="s">
        <v>45</v>
      </c>
      <c r="E325" s="1" t="s">
        <v>154</v>
      </c>
      <c r="F325" s="49">
        <v>25000</v>
      </c>
      <c r="G325" s="1" t="s">
        <v>157</v>
      </c>
      <c r="H325" s="1"/>
    </row>
    <row r="326" spans="1:8" x14ac:dyDescent="0.25">
      <c r="A326" s="42">
        <v>46288</v>
      </c>
      <c r="B326" s="45">
        <v>0.88571759259259264</v>
      </c>
      <c r="C326" s="1">
        <v>365</v>
      </c>
      <c r="D326" s="50" t="s">
        <v>178</v>
      </c>
      <c r="E326" s="1" t="s">
        <v>154</v>
      </c>
      <c r="F326" s="49">
        <v>13000</v>
      </c>
      <c r="G326" s="1" t="s">
        <v>157</v>
      </c>
      <c r="H326" s="1"/>
    </row>
    <row r="327" spans="1:8" x14ac:dyDescent="0.25">
      <c r="A327" s="42">
        <v>46288</v>
      </c>
      <c r="B327" s="45">
        <v>0.88678240740740744</v>
      </c>
      <c r="C327" s="1">
        <v>362</v>
      </c>
      <c r="D327" s="50" t="s">
        <v>612</v>
      </c>
      <c r="E327" s="1" t="s">
        <v>58</v>
      </c>
      <c r="F327" s="49">
        <v>16000</v>
      </c>
      <c r="G327" s="1" t="s">
        <v>157</v>
      </c>
      <c r="H327" s="1"/>
    </row>
    <row r="328" spans="1:8" x14ac:dyDescent="0.25">
      <c r="A328" s="42">
        <v>46288</v>
      </c>
      <c r="B328" s="45">
        <v>0.8994212962962963</v>
      </c>
      <c r="C328" s="1">
        <v>364</v>
      </c>
      <c r="D328" s="50" t="s">
        <v>44</v>
      </c>
      <c r="E328" s="1" t="s">
        <v>154</v>
      </c>
      <c r="F328" s="49">
        <v>13000</v>
      </c>
      <c r="G328" s="1" t="s">
        <v>157</v>
      </c>
      <c r="H328" s="1"/>
    </row>
    <row r="329" spans="1:8" ht="30" x14ac:dyDescent="0.25">
      <c r="A329" s="42">
        <v>46288</v>
      </c>
      <c r="B329" s="45">
        <v>0.90609953703703705</v>
      </c>
      <c r="C329" s="1">
        <v>344</v>
      </c>
      <c r="D329" s="50" t="s">
        <v>178</v>
      </c>
      <c r="E329" s="1" t="s">
        <v>58</v>
      </c>
      <c r="F329" s="49">
        <v>16000</v>
      </c>
      <c r="G329" s="1" t="s">
        <v>521</v>
      </c>
      <c r="H329" s="1" t="s">
        <v>633</v>
      </c>
    </row>
    <row r="330" spans="1:8" x14ac:dyDescent="0.25">
      <c r="A330" s="42">
        <v>46288</v>
      </c>
      <c r="B330" s="45">
        <v>0.91393518518518524</v>
      </c>
      <c r="C330" s="1">
        <v>368</v>
      </c>
      <c r="D330" s="50" t="s">
        <v>491</v>
      </c>
      <c r="E330" s="1" t="s">
        <v>58</v>
      </c>
      <c r="F330" s="49">
        <v>13800</v>
      </c>
      <c r="G330" s="1" t="s">
        <v>157</v>
      </c>
      <c r="H330" s="1"/>
    </row>
    <row r="331" spans="1:8" x14ac:dyDescent="0.25">
      <c r="A331" s="42">
        <v>46288</v>
      </c>
      <c r="B331" s="45">
        <v>0.99293981481481486</v>
      </c>
      <c r="C331" s="1">
        <v>363</v>
      </c>
      <c r="D331" s="50" t="s">
        <v>43</v>
      </c>
      <c r="E331" s="1" t="s">
        <v>154</v>
      </c>
      <c r="F331" s="49">
        <v>20000</v>
      </c>
      <c r="G331" s="1" t="s">
        <v>157</v>
      </c>
      <c r="H331" s="1"/>
    </row>
    <row r="332" spans="1:8" x14ac:dyDescent="0.25">
      <c r="A332" s="42">
        <v>46289</v>
      </c>
      <c r="B332" s="45">
        <v>0.89431712962962961</v>
      </c>
      <c r="C332" s="1">
        <v>379</v>
      </c>
      <c r="D332" s="50" t="s">
        <v>613</v>
      </c>
      <c r="E332" s="1" t="s">
        <v>58</v>
      </c>
      <c r="F332" s="49">
        <v>6000</v>
      </c>
      <c r="G332" s="1" t="s">
        <v>157</v>
      </c>
      <c r="H332" s="1"/>
    </row>
    <row r="333" spans="1:8" x14ac:dyDescent="0.25">
      <c r="A333" s="42">
        <v>46289</v>
      </c>
      <c r="B333" s="45">
        <v>0.89641203703703709</v>
      </c>
      <c r="C333" s="1">
        <v>376</v>
      </c>
      <c r="D333" s="50" t="s">
        <v>429</v>
      </c>
      <c r="E333" s="1" t="s">
        <v>58</v>
      </c>
      <c r="F333" s="49">
        <v>10000</v>
      </c>
      <c r="G333" s="1" t="s">
        <v>157</v>
      </c>
      <c r="H333" s="1"/>
    </row>
    <row r="334" spans="1:8" x14ac:dyDescent="0.25">
      <c r="A334" s="42">
        <v>46289</v>
      </c>
      <c r="B334" s="45">
        <v>0.9497916666666667</v>
      </c>
      <c r="C334" s="1">
        <v>372</v>
      </c>
      <c r="D334" s="50" t="s">
        <v>463</v>
      </c>
      <c r="E334" s="1" t="s">
        <v>154</v>
      </c>
      <c r="F334" s="49">
        <v>35000</v>
      </c>
      <c r="G334" s="1" t="s">
        <v>157</v>
      </c>
      <c r="H334" s="1"/>
    </row>
    <row r="335" spans="1:8" x14ac:dyDescent="0.25">
      <c r="A335" s="42">
        <v>46289</v>
      </c>
      <c r="B335" s="45">
        <v>0.95025462962962959</v>
      </c>
      <c r="C335" s="1">
        <v>370</v>
      </c>
      <c r="D335" s="50" t="s">
        <v>211</v>
      </c>
      <c r="E335" s="1" t="s">
        <v>154</v>
      </c>
      <c r="F335" s="49">
        <v>3000</v>
      </c>
      <c r="G335" s="1" t="s">
        <v>157</v>
      </c>
      <c r="H335" s="1"/>
    </row>
    <row r="336" spans="1:8" x14ac:dyDescent="0.25">
      <c r="A336" s="42">
        <v>46289</v>
      </c>
      <c r="B336" s="45">
        <v>0.97</v>
      </c>
      <c r="C336" s="1">
        <v>384</v>
      </c>
      <c r="D336" s="50" t="s">
        <v>178</v>
      </c>
      <c r="E336" s="1" t="s">
        <v>154</v>
      </c>
      <c r="F336" s="49">
        <v>10000</v>
      </c>
      <c r="G336" s="1" t="s">
        <v>157</v>
      </c>
      <c r="H336" s="1"/>
    </row>
    <row r="337" spans="1:8" x14ac:dyDescent="0.25">
      <c r="A337" s="42">
        <v>46289</v>
      </c>
      <c r="B337" s="45">
        <v>0.97228009259259263</v>
      </c>
      <c r="C337" s="1">
        <v>383</v>
      </c>
      <c r="D337" s="50" t="s">
        <v>614</v>
      </c>
      <c r="E337" s="1" t="s">
        <v>58</v>
      </c>
      <c r="F337" s="49">
        <v>10000</v>
      </c>
      <c r="G337" s="1" t="s">
        <v>157</v>
      </c>
      <c r="H337" s="1"/>
    </row>
    <row r="338" spans="1:8" x14ac:dyDescent="0.25">
      <c r="A338" s="42">
        <v>46289</v>
      </c>
      <c r="B338" s="45">
        <v>0.97266203703703702</v>
      </c>
      <c r="C338" s="1">
        <v>381</v>
      </c>
      <c r="D338" s="50" t="s">
        <v>213</v>
      </c>
      <c r="E338" s="1" t="s">
        <v>58</v>
      </c>
      <c r="F338" s="49">
        <v>10000</v>
      </c>
      <c r="G338" s="1" t="s">
        <v>157</v>
      </c>
      <c r="H338" s="1"/>
    </row>
    <row r="339" spans="1:8" x14ac:dyDescent="0.25">
      <c r="A339" s="42">
        <v>46289</v>
      </c>
      <c r="B339" s="45">
        <v>0.97296296296296292</v>
      </c>
      <c r="C339" s="1">
        <v>381</v>
      </c>
      <c r="D339" s="50" t="s">
        <v>213</v>
      </c>
      <c r="E339" s="1" t="s">
        <v>58</v>
      </c>
      <c r="F339" s="49">
        <v>16000</v>
      </c>
      <c r="G339" s="1" t="s">
        <v>157</v>
      </c>
      <c r="H339" s="1"/>
    </row>
    <row r="340" spans="1:8" x14ac:dyDescent="0.25">
      <c r="A340" s="42">
        <v>46289</v>
      </c>
      <c r="B340" s="45">
        <v>0.97302083333333333</v>
      </c>
      <c r="C340" s="1">
        <v>374</v>
      </c>
      <c r="D340" s="50" t="s">
        <v>212</v>
      </c>
      <c r="E340" s="1" t="s">
        <v>58</v>
      </c>
      <c r="F340" s="49">
        <v>10000</v>
      </c>
      <c r="G340" s="1" t="s">
        <v>157</v>
      </c>
      <c r="H340" s="1"/>
    </row>
    <row r="341" spans="1:8" x14ac:dyDescent="0.25">
      <c r="A341" s="42">
        <v>46289</v>
      </c>
      <c r="B341" s="45">
        <v>0.97395833333333337</v>
      </c>
      <c r="C341" s="1">
        <v>371</v>
      </c>
      <c r="D341" s="50" t="s">
        <v>233</v>
      </c>
      <c r="E341" s="1" t="s">
        <v>58</v>
      </c>
      <c r="F341" s="49">
        <v>4000</v>
      </c>
      <c r="G341" s="1" t="s">
        <v>157</v>
      </c>
      <c r="H341" s="1"/>
    </row>
    <row r="342" spans="1:8" x14ac:dyDescent="0.25">
      <c r="A342" s="42">
        <v>46289</v>
      </c>
      <c r="B342" s="45">
        <v>0.97847222222222219</v>
      </c>
      <c r="C342" s="1">
        <v>373</v>
      </c>
      <c r="D342" s="50" t="s">
        <v>43</v>
      </c>
      <c r="E342" s="1" t="s">
        <v>154</v>
      </c>
      <c r="F342" s="49">
        <v>35000</v>
      </c>
      <c r="G342" s="1" t="s">
        <v>157</v>
      </c>
      <c r="H342" s="1"/>
    </row>
    <row r="343" spans="1:8" x14ac:dyDescent="0.25">
      <c r="A343" s="42">
        <v>46290</v>
      </c>
      <c r="B343" s="45">
        <v>0.67545138888888889</v>
      </c>
      <c r="C343" s="1">
        <v>392</v>
      </c>
      <c r="D343" s="50" t="s">
        <v>628</v>
      </c>
      <c r="E343" s="1" t="s">
        <v>154</v>
      </c>
      <c r="F343" s="49">
        <v>15000</v>
      </c>
      <c r="G343" s="1" t="s">
        <v>157</v>
      </c>
      <c r="H343" s="1"/>
    </row>
    <row r="344" spans="1:8" x14ac:dyDescent="0.25">
      <c r="A344" s="42">
        <v>46290</v>
      </c>
      <c r="B344" s="45">
        <v>0.67929398148148146</v>
      </c>
      <c r="C344" s="1">
        <v>387</v>
      </c>
      <c r="D344" s="50" t="s">
        <v>616</v>
      </c>
      <c r="E344" s="1" t="s">
        <v>58</v>
      </c>
      <c r="F344" s="49">
        <v>6000</v>
      </c>
      <c r="G344" s="1" t="s">
        <v>157</v>
      </c>
      <c r="H344" s="1"/>
    </row>
    <row r="345" spans="1:8" x14ac:dyDescent="0.25">
      <c r="A345" s="42">
        <v>46290</v>
      </c>
      <c r="B345" s="45">
        <v>0.69199074074074074</v>
      </c>
      <c r="C345" s="1">
        <v>390</v>
      </c>
      <c r="D345" s="50" t="s">
        <v>619</v>
      </c>
      <c r="E345" s="1" t="s">
        <v>154</v>
      </c>
      <c r="F345" s="49">
        <v>22000</v>
      </c>
      <c r="G345" s="1" t="s">
        <v>157</v>
      </c>
      <c r="H345" s="1"/>
    </row>
    <row r="346" spans="1:8" x14ac:dyDescent="0.25">
      <c r="A346" s="42">
        <v>46290</v>
      </c>
      <c r="B346" s="45">
        <v>0.69209490740740742</v>
      </c>
      <c r="C346" s="1">
        <v>389</v>
      </c>
      <c r="D346" s="50" t="s">
        <v>618</v>
      </c>
      <c r="E346" s="1" t="s">
        <v>58</v>
      </c>
      <c r="F346" s="49">
        <v>6000</v>
      </c>
      <c r="G346" s="1" t="s">
        <v>157</v>
      </c>
      <c r="H346" s="1"/>
    </row>
    <row r="347" spans="1:8" x14ac:dyDescent="0.25">
      <c r="A347" s="42">
        <v>46290</v>
      </c>
      <c r="B347" s="45">
        <v>0.69847222222222227</v>
      </c>
      <c r="C347" s="1">
        <v>388</v>
      </c>
      <c r="D347" s="50" t="s">
        <v>617</v>
      </c>
      <c r="E347" s="1" t="s">
        <v>58</v>
      </c>
      <c r="F347" s="49">
        <v>3000</v>
      </c>
      <c r="G347" s="1" t="s">
        <v>157</v>
      </c>
      <c r="H347" s="1"/>
    </row>
    <row r="348" spans="1:8" x14ac:dyDescent="0.25">
      <c r="A348" s="42">
        <v>46290</v>
      </c>
      <c r="B348" s="45">
        <v>0.69862268518518522</v>
      </c>
      <c r="C348" s="1">
        <v>386</v>
      </c>
      <c r="D348" s="50" t="s">
        <v>615</v>
      </c>
      <c r="E348" s="1" t="s">
        <v>58</v>
      </c>
      <c r="F348" s="49">
        <v>9000</v>
      </c>
      <c r="G348" s="1" t="s">
        <v>157</v>
      </c>
      <c r="H348" s="1"/>
    </row>
    <row r="349" spans="1:8" x14ac:dyDescent="0.25">
      <c r="A349" s="42">
        <v>46290</v>
      </c>
      <c r="B349" s="45">
        <v>0.69960648148148152</v>
      </c>
      <c r="C349" s="1">
        <v>393</v>
      </c>
      <c r="D349" s="50" t="s">
        <v>621</v>
      </c>
      <c r="E349" s="1" t="s">
        <v>58</v>
      </c>
      <c r="F349" s="49">
        <v>15000</v>
      </c>
      <c r="G349" s="1" t="s">
        <v>157</v>
      </c>
      <c r="H349" s="1"/>
    </row>
    <row r="350" spans="1:8" x14ac:dyDescent="0.25">
      <c r="A350" s="42">
        <v>46290</v>
      </c>
      <c r="B350" s="45">
        <v>0.69968750000000002</v>
      </c>
      <c r="C350" s="1">
        <v>391</v>
      </c>
      <c r="D350" s="50" t="s">
        <v>620</v>
      </c>
      <c r="E350" s="1" t="s">
        <v>58</v>
      </c>
      <c r="F350" s="49">
        <v>22000</v>
      </c>
      <c r="G350" s="1" t="s">
        <v>157</v>
      </c>
      <c r="H350" s="1"/>
    </row>
    <row r="351" spans="1:8" x14ac:dyDescent="0.25">
      <c r="A351" s="42">
        <v>46290</v>
      </c>
      <c r="B351" s="45">
        <v>0.70763888888888893</v>
      </c>
      <c r="C351" s="1">
        <v>398</v>
      </c>
      <c r="D351" s="50" t="s">
        <v>615</v>
      </c>
      <c r="E351" s="1" t="s">
        <v>58</v>
      </c>
      <c r="F351" s="49">
        <v>12000</v>
      </c>
      <c r="G351" s="1" t="s">
        <v>157</v>
      </c>
      <c r="H351" s="1"/>
    </row>
    <row r="352" spans="1:8" x14ac:dyDescent="0.25">
      <c r="A352" s="42">
        <v>46290</v>
      </c>
      <c r="B352" s="45">
        <v>0.76141203703703708</v>
      </c>
      <c r="C352" s="1">
        <v>399</v>
      </c>
      <c r="D352" s="50" t="s">
        <v>615</v>
      </c>
      <c r="E352" s="1" t="s">
        <v>58</v>
      </c>
      <c r="F352" s="49">
        <v>12000</v>
      </c>
      <c r="G352" s="1" t="s">
        <v>157</v>
      </c>
      <c r="H352" s="1"/>
    </row>
    <row r="353" spans="1:8" x14ac:dyDescent="0.25">
      <c r="A353" s="42">
        <v>46290</v>
      </c>
      <c r="B353" s="45">
        <v>0.79248842592592594</v>
      </c>
      <c r="C353" s="1">
        <v>402</v>
      </c>
      <c r="D353" s="50" t="s">
        <v>134</v>
      </c>
      <c r="E353" s="1" t="s">
        <v>154</v>
      </c>
      <c r="F353" s="49">
        <v>26000</v>
      </c>
      <c r="G353" s="1" t="s">
        <v>157</v>
      </c>
      <c r="H353" s="1"/>
    </row>
    <row r="354" spans="1:8" x14ac:dyDescent="0.25">
      <c r="A354" s="42">
        <v>46290</v>
      </c>
      <c r="B354" s="45">
        <v>0.80417824074074074</v>
      </c>
      <c r="C354" s="1">
        <v>397</v>
      </c>
      <c r="D354" s="50" t="s">
        <v>622</v>
      </c>
      <c r="E354" s="1" t="s">
        <v>58</v>
      </c>
      <c r="F354" s="49">
        <v>12000</v>
      </c>
      <c r="G354" s="1" t="s">
        <v>157</v>
      </c>
      <c r="H354" s="1"/>
    </row>
    <row r="355" spans="1:8" x14ac:dyDescent="0.25">
      <c r="A355" s="42">
        <v>46290</v>
      </c>
      <c r="B355" s="45">
        <v>0.80423611111111115</v>
      </c>
      <c r="C355" s="1">
        <v>394</v>
      </c>
      <c r="D355" s="50" t="s">
        <v>231</v>
      </c>
      <c r="E355" s="1" t="s">
        <v>58</v>
      </c>
      <c r="F355" s="49">
        <v>12000</v>
      </c>
      <c r="G355" s="1" t="s">
        <v>157</v>
      </c>
      <c r="H355" s="1"/>
    </row>
    <row r="356" spans="1:8" ht="30" x14ac:dyDescent="0.25">
      <c r="A356" s="42">
        <v>46290</v>
      </c>
      <c r="B356" s="45">
        <v>0.86964120370370368</v>
      </c>
      <c r="C356" s="1">
        <v>277</v>
      </c>
      <c r="D356" s="50" t="s">
        <v>209</v>
      </c>
      <c r="E356" s="1" t="s">
        <v>58</v>
      </c>
      <c r="F356" s="49">
        <v>15000</v>
      </c>
      <c r="G356" s="1" t="s">
        <v>521</v>
      </c>
      <c r="H356" s="1" t="s">
        <v>634</v>
      </c>
    </row>
    <row r="357" spans="1:8" ht="30" x14ac:dyDescent="0.25">
      <c r="A357" s="42">
        <v>46290</v>
      </c>
      <c r="B357" s="45">
        <v>0.87026620370370367</v>
      </c>
      <c r="C357" s="1">
        <v>361</v>
      </c>
      <c r="D357" s="50" t="s">
        <v>42</v>
      </c>
      <c r="E357" s="1" t="s">
        <v>154</v>
      </c>
      <c r="F357" s="49">
        <v>30000</v>
      </c>
      <c r="G357" s="1" t="s">
        <v>521</v>
      </c>
      <c r="H357" s="1" t="s">
        <v>635</v>
      </c>
    </row>
    <row r="358" spans="1:8" x14ac:dyDescent="0.25">
      <c r="A358" s="42">
        <v>46290</v>
      </c>
      <c r="B358" s="45">
        <v>0.87053240740740745</v>
      </c>
      <c r="C358" s="1">
        <v>400</v>
      </c>
      <c r="D358" s="50" t="s">
        <v>42</v>
      </c>
      <c r="E358" s="1" t="s">
        <v>58</v>
      </c>
      <c r="F358" s="49">
        <v>62000</v>
      </c>
      <c r="G358" s="1" t="s">
        <v>157</v>
      </c>
      <c r="H358" s="1"/>
    </row>
    <row r="359" spans="1:8" x14ac:dyDescent="0.25">
      <c r="A359" s="42">
        <v>46290</v>
      </c>
      <c r="B359" s="45">
        <v>0.87240740740740741</v>
      </c>
      <c r="C359" s="1">
        <v>401</v>
      </c>
      <c r="D359" s="50" t="s">
        <v>615</v>
      </c>
      <c r="E359" s="1" t="s">
        <v>58</v>
      </c>
      <c r="F359" s="49">
        <v>18000</v>
      </c>
      <c r="G359" s="1" t="s">
        <v>157</v>
      </c>
      <c r="H359" s="1"/>
    </row>
    <row r="360" spans="1:8" x14ac:dyDescent="0.25">
      <c r="A360" s="42">
        <v>46290</v>
      </c>
      <c r="B360" s="45">
        <v>0.90489583333333334</v>
      </c>
      <c r="C360" s="1">
        <v>385</v>
      </c>
      <c r="D360" s="50" t="s">
        <v>43</v>
      </c>
      <c r="E360" s="1" t="s">
        <v>154</v>
      </c>
      <c r="F360" s="49">
        <v>33000</v>
      </c>
      <c r="G360" s="1" t="s">
        <v>157</v>
      </c>
      <c r="H360" s="1"/>
    </row>
    <row r="361" spans="1:8" x14ac:dyDescent="0.25">
      <c r="A361" s="42">
        <v>46290</v>
      </c>
      <c r="B361" s="45">
        <v>0.99861111111111112</v>
      </c>
      <c r="C361" s="1">
        <v>403</v>
      </c>
      <c r="D361" s="50" t="s">
        <v>503</v>
      </c>
      <c r="E361" s="1" t="s">
        <v>154</v>
      </c>
      <c r="F361" s="49">
        <v>51200</v>
      </c>
      <c r="G361" s="1" t="s">
        <v>157</v>
      </c>
      <c r="H361" s="1"/>
    </row>
    <row r="362" spans="1:8" x14ac:dyDescent="0.25">
      <c r="A362" s="42">
        <v>46291</v>
      </c>
      <c r="B362" s="45">
        <v>1.5046296296296296E-3</v>
      </c>
      <c r="C362" s="1">
        <v>404</v>
      </c>
      <c r="D362" s="50" t="s">
        <v>623</v>
      </c>
      <c r="E362" s="1" t="s">
        <v>154</v>
      </c>
      <c r="F362" s="49">
        <v>21000</v>
      </c>
      <c r="G362" s="1" t="s">
        <v>157</v>
      </c>
      <c r="H362" s="1"/>
    </row>
    <row r="363" spans="1:8" x14ac:dyDescent="0.25">
      <c r="A363" s="42">
        <v>46291</v>
      </c>
      <c r="B363" s="45">
        <v>2.5810185185185185E-3</v>
      </c>
      <c r="C363" s="1">
        <v>396</v>
      </c>
      <c r="D363" s="50" t="s">
        <v>255</v>
      </c>
      <c r="E363" s="1" t="s">
        <v>154</v>
      </c>
      <c r="F363" s="49">
        <v>22000</v>
      </c>
      <c r="G363" s="1" t="s">
        <v>157</v>
      </c>
      <c r="H363" s="1"/>
    </row>
    <row r="364" spans="1:8" x14ac:dyDescent="0.25">
      <c r="A364" s="42">
        <v>46291</v>
      </c>
      <c r="B364" s="45">
        <v>0.79870370370370369</v>
      </c>
      <c r="C364" s="1">
        <v>414</v>
      </c>
      <c r="D364" s="50" t="s">
        <v>626</v>
      </c>
      <c r="E364" s="1" t="s">
        <v>58</v>
      </c>
      <c r="F364" s="49">
        <v>12000</v>
      </c>
      <c r="G364" s="1" t="s">
        <v>157</v>
      </c>
      <c r="H364" s="1"/>
    </row>
    <row r="365" spans="1:8" x14ac:dyDescent="0.25">
      <c r="A365" s="42">
        <v>46291</v>
      </c>
      <c r="B365" s="45">
        <v>0.80829861111111112</v>
      </c>
      <c r="C365" s="1">
        <v>415</v>
      </c>
      <c r="D365" s="50" t="s">
        <v>627</v>
      </c>
      <c r="E365" s="1" t="s">
        <v>58</v>
      </c>
      <c r="F365" s="49">
        <v>14000</v>
      </c>
      <c r="G365" s="1" t="s">
        <v>157</v>
      </c>
      <c r="H365" s="1"/>
    </row>
    <row r="366" spans="1:8" x14ac:dyDescent="0.25">
      <c r="A366" s="42">
        <v>46291</v>
      </c>
      <c r="B366" s="45">
        <v>0.81354166666666672</v>
      </c>
      <c r="C366" s="1">
        <v>412</v>
      </c>
      <c r="D366" s="50" t="s">
        <v>630</v>
      </c>
      <c r="E366" s="1" t="s">
        <v>154</v>
      </c>
      <c r="F366" s="49">
        <v>15000</v>
      </c>
      <c r="G366" s="1" t="s">
        <v>157</v>
      </c>
      <c r="H366" s="1"/>
    </row>
    <row r="367" spans="1:8" x14ac:dyDescent="0.25">
      <c r="A367" s="42">
        <v>46291</v>
      </c>
      <c r="B367" s="45">
        <v>0.85873842592592597</v>
      </c>
      <c r="C367" s="1">
        <v>411</v>
      </c>
      <c r="D367" s="50" t="s">
        <v>178</v>
      </c>
      <c r="E367" s="1" t="s">
        <v>58</v>
      </c>
      <c r="F367" s="49">
        <v>3000</v>
      </c>
      <c r="G367" s="1" t="s">
        <v>157</v>
      </c>
      <c r="H367" s="1"/>
    </row>
    <row r="368" spans="1:8" x14ac:dyDescent="0.25">
      <c r="A368" s="42">
        <v>46291</v>
      </c>
      <c r="B368" s="45">
        <v>0.86045138888888884</v>
      </c>
      <c r="C368" s="1">
        <v>416</v>
      </c>
      <c r="D368" s="50" t="s">
        <v>463</v>
      </c>
      <c r="E368" s="1" t="s">
        <v>154</v>
      </c>
      <c r="F368" s="49">
        <v>27000</v>
      </c>
      <c r="G368" s="1" t="s">
        <v>157</v>
      </c>
      <c r="H368" s="1"/>
    </row>
    <row r="369" spans="1:8" x14ac:dyDescent="0.25">
      <c r="A369" s="42">
        <v>46291</v>
      </c>
      <c r="B369" s="45">
        <v>0.8606597222222222</v>
      </c>
      <c r="C369" s="1">
        <v>407</v>
      </c>
      <c r="D369" s="50" t="s">
        <v>45</v>
      </c>
      <c r="E369" s="1" t="s">
        <v>154</v>
      </c>
      <c r="F369" s="49">
        <v>30000</v>
      </c>
      <c r="G369" s="1" t="s">
        <v>157</v>
      </c>
      <c r="H369" s="1"/>
    </row>
    <row r="370" spans="1:8" x14ac:dyDescent="0.25">
      <c r="A370" s="42">
        <v>46291</v>
      </c>
      <c r="B370" s="45">
        <v>0.86092592592592587</v>
      </c>
      <c r="C370" s="1">
        <v>409</v>
      </c>
      <c r="D370" s="50" t="s">
        <v>46</v>
      </c>
      <c r="E370" s="1" t="s">
        <v>154</v>
      </c>
      <c r="F370" s="49">
        <v>6000</v>
      </c>
      <c r="G370" s="1" t="s">
        <v>157</v>
      </c>
      <c r="H370" s="1"/>
    </row>
    <row r="371" spans="1:8" x14ac:dyDescent="0.25">
      <c r="A371" s="42">
        <v>46291</v>
      </c>
      <c r="B371" s="45">
        <v>0.86578703703703708</v>
      </c>
      <c r="C371" s="1">
        <v>418</v>
      </c>
      <c r="D371" s="50" t="s">
        <v>134</v>
      </c>
      <c r="E371" s="1" t="s">
        <v>154</v>
      </c>
      <c r="F371" s="49">
        <v>26000</v>
      </c>
      <c r="G371" s="1" t="s">
        <v>157</v>
      </c>
      <c r="H371" s="1"/>
    </row>
    <row r="372" spans="1:8" x14ac:dyDescent="0.25">
      <c r="A372" s="42">
        <v>46291</v>
      </c>
      <c r="B372" s="45">
        <v>0.93427083333333338</v>
      </c>
      <c r="C372" s="1">
        <v>410</v>
      </c>
      <c r="D372" s="50" t="s">
        <v>624</v>
      </c>
      <c r="E372" s="1" t="s">
        <v>154</v>
      </c>
      <c r="F372" s="49">
        <v>4000</v>
      </c>
      <c r="G372" s="1" t="s">
        <v>157</v>
      </c>
      <c r="H372" s="1"/>
    </row>
    <row r="373" spans="1:8" x14ac:dyDescent="0.25">
      <c r="A373" s="42">
        <v>46291</v>
      </c>
      <c r="B373" s="45">
        <v>0.93451388888888887</v>
      </c>
      <c r="C373" s="1">
        <v>421</v>
      </c>
      <c r="D373" s="50" t="s">
        <v>210</v>
      </c>
      <c r="E373" s="1" t="s">
        <v>154</v>
      </c>
      <c r="F373" s="49">
        <v>13000</v>
      </c>
      <c r="G373" s="1" t="s">
        <v>157</v>
      </c>
      <c r="H373" s="1"/>
    </row>
    <row r="374" spans="1:8" ht="30" x14ac:dyDescent="0.25">
      <c r="A374" s="42">
        <v>46291</v>
      </c>
      <c r="B374" s="45">
        <v>0.93481481481481477</v>
      </c>
      <c r="C374" s="1">
        <v>375</v>
      </c>
      <c r="D374" s="50" t="s">
        <v>210</v>
      </c>
      <c r="E374" s="1" t="s">
        <v>58</v>
      </c>
      <c r="F374" s="49">
        <v>4000</v>
      </c>
      <c r="G374" s="1" t="s">
        <v>521</v>
      </c>
      <c r="H374" s="1" t="s">
        <v>636</v>
      </c>
    </row>
    <row r="375" spans="1:8" x14ac:dyDescent="0.25">
      <c r="A375" s="42">
        <v>46291</v>
      </c>
      <c r="B375" s="45">
        <v>0.94063657407407408</v>
      </c>
      <c r="C375" s="1">
        <v>426</v>
      </c>
      <c r="D375" s="50" t="s">
        <v>43</v>
      </c>
      <c r="E375" s="1" t="s">
        <v>58</v>
      </c>
      <c r="F375" s="49">
        <v>6000</v>
      </c>
      <c r="G375" s="1" t="s">
        <v>157</v>
      </c>
      <c r="H375" s="1"/>
    </row>
    <row r="376" spans="1:8" x14ac:dyDescent="0.25">
      <c r="A376" s="42">
        <v>46291</v>
      </c>
      <c r="B376" s="45">
        <v>0.96319444444444446</v>
      </c>
      <c r="C376" s="1">
        <v>428</v>
      </c>
      <c r="D376" s="50" t="s">
        <v>614</v>
      </c>
      <c r="E376" s="1" t="s">
        <v>58</v>
      </c>
      <c r="F376" s="49">
        <v>10000</v>
      </c>
      <c r="G376" s="1" t="s">
        <v>157</v>
      </c>
      <c r="H376" s="1"/>
    </row>
    <row r="377" spans="1:8" x14ac:dyDescent="0.25">
      <c r="A377" s="42">
        <v>46291</v>
      </c>
      <c r="B377" s="45">
        <v>0.96596064814814819</v>
      </c>
      <c r="C377" s="1">
        <v>425</v>
      </c>
      <c r="D377" s="50" t="s">
        <v>210</v>
      </c>
      <c r="E377" s="1" t="s">
        <v>58</v>
      </c>
      <c r="F377" s="49">
        <v>10000</v>
      </c>
      <c r="G377" s="1" t="s">
        <v>157</v>
      </c>
      <c r="H377" s="1"/>
    </row>
    <row r="378" spans="1:8" x14ac:dyDescent="0.25">
      <c r="A378" s="42">
        <v>46291</v>
      </c>
      <c r="B378" s="45">
        <v>0.96946759259259263</v>
      </c>
      <c r="C378" s="1">
        <v>423</v>
      </c>
      <c r="D378" s="50" t="s">
        <v>211</v>
      </c>
      <c r="E378" s="1" t="s">
        <v>154</v>
      </c>
      <c r="F378" s="49">
        <v>11000</v>
      </c>
      <c r="G378" s="1" t="s">
        <v>157</v>
      </c>
      <c r="H378" s="1"/>
    </row>
    <row r="379" spans="1:8" x14ac:dyDescent="0.25">
      <c r="A379" s="42">
        <v>46291</v>
      </c>
      <c r="B379" s="45">
        <v>0.98155092592592597</v>
      </c>
      <c r="C379" s="1">
        <v>420</v>
      </c>
      <c r="D379" s="50" t="s">
        <v>212</v>
      </c>
      <c r="E379" s="1" t="s">
        <v>154</v>
      </c>
      <c r="F379" s="49">
        <v>18000</v>
      </c>
      <c r="G379" s="1" t="s">
        <v>157</v>
      </c>
      <c r="H379" s="1"/>
    </row>
    <row r="380" spans="1:8" x14ac:dyDescent="0.25">
      <c r="A380" s="42">
        <v>46291</v>
      </c>
      <c r="B380" s="45">
        <v>0.98170138888888892</v>
      </c>
      <c r="C380" s="1">
        <v>424</v>
      </c>
      <c r="D380" s="50" t="s">
        <v>213</v>
      </c>
      <c r="E380" s="1" t="s">
        <v>154</v>
      </c>
      <c r="F380" s="49">
        <v>19000</v>
      </c>
      <c r="G380" s="1" t="s">
        <v>157</v>
      </c>
      <c r="H380" s="1"/>
    </row>
    <row r="381" spans="1:8" x14ac:dyDescent="0.25">
      <c r="A381" s="42">
        <v>46291</v>
      </c>
      <c r="B381" s="45">
        <v>0.98221064814814818</v>
      </c>
      <c r="C381" s="1">
        <v>422</v>
      </c>
      <c r="D381" s="50" t="s">
        <v>233</v>
      </c>
      <c r="E381" s="1" t="s">
        <v>154</v>
      </c>
      <c r="F381" s="49">
        <v>4000</v>
      </c>
      <c r="G381" s="1" t="s">
        <v>157</v>
      </c>
      <c r="H381" s="1"/>
    </row>
    <row r="382" spans="1:8" x14ac:dyDescent="0.25">
      <c r="A382" s="42">
        <v>46291</v>
      </c>
      <c r="B382" s="45">
        <v>0.98376157407407405</v>
      </c>
      <c r="C382" s="1">
        <v>413</v>
      </c>
      <c r="D382" s="50" t="s">
        <v>625</v>
      </c>
      <c r="E382" s="1" t="s">
        <v>58</v>
      </c>
      <c r="F382" s="49">
        <v>7000</v>
      </c>
      <c r="G382" s="1" t="s">
        <v>157</v>
      </c>
      <c r="H382" s="1"/>
    </row>
    <row r="383" spans="1:8" x14ac:dyDescent="0.25">
      <c r="A383" s="42">
        <v>46292</v>
      </c>
      <c r="B383" s="45">
        <v>3.3599537037037039E-2</v>
      </c>
      <c r="C383" s="1">
        <v>429</v>
      </c>
      <c r="D383" s="50" t="s">
        <v>231</v>
      </c>
      <c r="E383" s="1" t="s">
        <v>58</v>
      </c>
      <c r="F383" s="49">
        <v>10000</v>
      </c>
      <c r="G383" s="1" t="s">
        <v>157</v>
      </c>
      <c r="H383" s="1"/>
    </row>
    <row r="384" spans="1:8" x14ac:dyDescent="0.25">
      <c r="A384" s="42">
        <v>46292</v>
      </c>
      <c r="B384" s="45">
        <v>3.3900462962962966E-2</v>
      </c>
      <c r="C384" s="1">
        <v>429</v>
      </c>
      <c r="D384" s="50" t="s">
        <v>231</v>
      </c>
      <c r="E384" s="1" t="s">
        <v>58</v>
      </c>
      <c r="F384" s="49">
        <v>10000</v>
      </c>
      <c r="G384" s="1" t="s">
        <v>157</v>
      </c>
      <c r="H384" s="1"/>
    </row>
    <row r="385" spans="1:8" x14ac:dyDescent="0.25">
      <c r="A385" s="42">
        <v>46292</v>
      </c>
      <c r="B385" s="45">
        <v>3.4594907407407408E-2</v>
      </c>
      <c r="C385" s="1">
        <v>427</v>
      </c>
      <c r="D385" s="50" t="s">
        <v>170</v>
      </c>
      <c r="E385" s="1" t="s">
        <v>154</v>
      </c>
      <c r="F385" s="49">
        <v>27000</v>
      </c>
      <c r="G385" s="1" t="s">
        <v>157</v>
      </c>
      <c r="H385" s="1"/>
    </row>
    <row r="386" spans="1:8" ht="30" x14ac:dyDescent="0.25">
      <c r="A386" s="42">
        <v>46292</v>
      </c>
      <c r="B386" s="45">
        <v>3.5370370370370371E-2</v>
      </c>
      <c r="C386" s="1">
        <v>395</v>
      </c>
      <c r="D386" s="50" t="s">
        <v>170</v>
      </c>
      <c r="E386" s="1" t="s">
        <v>58</v>
      </c>
      <c r="F386" s="49">
        <v>3000</v>
      </c>
      <c r="G386" s="1" t="s">
        <v>521</v>
      </c>
      <c r="H386" s="1" t="s">
        <v>637</v>
      </c>
    </row>
    <row r="387" spans="1:8" x14ac:dyDescent="0.25">
      <c r="A387" s="42">
        <v>46292</v>
      </c>
      <c r="B387" s="45">
        <v>3.5763888888888887E-2</v>
      </c>
      <c r="C387" s="1">
        <v>430</v>
      </c>
      <c r="D387" s="50" t="s">
        <v>43</v>
      </c>
      <c r="E387" s="1" t="s">
        <v>58</v>
      </c>
      <c r="F387" s="49">
        <v>7000</v>
      </c>
      <c r="G387" s="1" t="s">
        <v>157</v>
      </c>
      <c r="H387" s="1"/>
    </row>
    <row r="388" spans="1:8" x14ac:dyDescent="0.25">
      <c r="A388" s="42">
        <v>46292</v>
      </c>
      <c r="B388" s="45">
        <v>0.45996527777777779</v>
      </c>
      <c r="C388" s="1">
        <v>419</v>
      </c>
      <c r="D388" s="50" t="s">
        <v>211</v>
      </c>
      <c r="E388" s="1" t="s">
        <v>58</v>
      </c>
      <c r="F388" s="49">
        <v>3000</v>
      </c>
      <c r="G388" s="1" t="s">
        <v>157</v>
      </c>
      <c r="H388" s="1"/>
    </row>
    <row r="389" spans="1:8" x14ac:dyDescent="0.25">
      <c r="A389" s="42">
        <v>46292</v>
      </c>
      <c r="B389" s="45">
        <v>0.46003472222222225</v>
      </c>
      <c r="C389" s="1">
        <v>419</v>
      </c>
      <c r="D389" s="50" t="s">
        <v>211</v>
      </c>
      <c r="E389" s="1" t="s">
        <v>58</v>
      </c>
      <c r="F389" s="49">
        <v>3000</v>
      </c>
      <c r="G389" s="1" t="s">
        <v>157</v>
      </c>
      <c r="H389" s="1"/>
    </row>
    <row r="390" spans="1:8" x14ac:dyDescent="0.25">
      <c r="A390" s="42">
        <v>46293</v>
      </c>
      <c r="B390" s="45">
        <v>0.90547453703703706</v>
      </c>
      <c r="C390" s="1">
        <v>433</v>
      </c>
      <c r="D390" s="50" t="s">
        <v>427</v>
      </c>
      <c r="E390" s="1" t="s">
        <v>154</v>
      </c>
      <c r="F390" s="49">
        <v>37400</v>
      </c>
      <c r="G390" s="1" t="s">
        <v>157</v>
      </c>
      <c r="H390" s="1"/>
    </row>
    <row r="391" spans="1:8" x14ac:dyDescent="0.25">
      <c r="A391" s="42">
        <v>46295</v>
      </c>
      <c r="B391" s="45">
        <v>0.73434027777777777</v>
      </c>
      <c r="C391" s="1">
        <v>436</v>
      </c>
      <c r="D391" s="50" t="s">
        <v>45</v>
      </c>
      <c r="E391" s="1" t="s">
        <v>154</v>
      </c>
      <c r="F391" s="49">
        <v>13000</v>
      </c>
      <c r="G391" s="1" t="s">
        <v>157</v>
      </c>
      <c r="H391" s="1"/>
    </row>
    <row r="392" spans="1:8" x14ac:dyDescent="0.25">
      <c r="A392" s="42">
        <v>46295</v>
      </c>
      <c r="B392" s="45">
        <v>0.76901620370370372</v>
      </c>
      <c r="C392" s="1">
        <v>434</v>
      </c>
      <c r="D392" s="50" t="s">
        <v>203</v>
      </c>
      <c r="E392" s="1" t="s">
        <v>154</v>
      </c>
      <c r="F392" s="49">
        <v>16200</v>
      </c>
      <c r="G392" s="1" t="s">
        <v>157</v>
      </c>
      <c r="H392" s="1"/>
    </row>
    <row r="393" spans="1:8" x14ac:dyDescent="0.25">
      <c r="A393" s="42">
        <v>46295</v>
      </c>
      <c r="B393" s="45">
        <v>0.86924768518518514</v>
      </c>
      <c r="C393" s="1">
        <v>440</v>
      </c>
      <c r="D393" s="50" t="s">
        <v>210</v>
      </c>
      <c r="E393" s="1" t="s">
        <v>154</v>
      </c>
      <c r="F393" s="49">
        <v>19000</v>
      </c>
      <c r="G393" s="1" t="s">
        <v>157</v>
      </c>
      <c r="H393" s="1"/>
    </row>
    <row r="394" spans="1:8" x14ac:dyDescent="0.25">
      <c r="A394" s="42">
        <v>46295</v>
      </c>
      <c r="B394" s="45">
        <v>0.8840393518518519</v>
      </c>
      <c r="C394" s="1">
        <v>437</v>
      </c>
      <c r="D394" s="50" t="s">
        <v>255</v>
      </c>
      <c r="E394" s="1" t="s">
        <v>154</v>
      </c>
      <c r="F394" s="49">
        <v>10000</v>
      </c>
      <c r="G394" s="1" t="s">
        <v>157</v>
      </c>
      <c r="H394" s="1"/>
    </row>
    <row r="395" spans="1:8" x14ac:dyDescent="0.25">
      <c r="A395" s="42">
        <v>46295</v>
      </c>
      <c r="B395" s="45">
        <v>0.8923726851851852</v>
      </c>
      <c r="C395" s="1">
        <v>438</v>
      </c>
      <c r="D395" s="50" t="s">
        <v>209</v>
      </c>
      <c r="E395" s="1" t="s">
        <v>58</v>
      </c>
      <c r="F395" s="49">
        <v>10000</v>
      </c>
      <c r="G395" s="1" t="s">
        <v>157</v>
      </c>
      <c r="H395" s="1"/>
    </row>
    <row r="396" spans="1:8" x14ac:dyDescent="0.25">
      <c r="A396" s="42">
        <v>46295</v>
      </c>
      <c r="B396" s="45">
        <v>0.91831018518518515</v>
      </c>
      <c r="C396" s="1">
        <v>443</v>
      </c>
      <c r="D396" s="50" t="s">
        <v>729</v>
      </c>
      <c r="E396" s="1" t="s">
        <v>58</v>
      </c>
      <c r="F396" s="49">
        <v>6000</v>
      </c>
      <c r="G396" s="1" t="s">
        <v>157</v>
      </c>
      <c r="H396" s="1"/>
    </row>
    <row r="397" spans="1:8" x14ac:dyDescent="0.25">
      <c r="A397" s="42">
        <v>46295</v>
      </c>
      <c r="B397" s="45">
        <v>0.94299768518518523</v>
      </c>
      <c r="C397" s="1">
        <v>442</v>
      </c>
      <c r="D397" s="50" t="s">
        <v>730</v>
      </c>
      <c r="E397" s="1" t="s">
        <v>154</v>
      </c>
      <c r="F397" s="49">
        <v>21600</v>
      </c>
      <c r="G397" s="1" t="s">
        <v>157</v>
      </c>
      <c r="H397" s="1"/>
    </row>
    <row r="398" spans="1:8" x14ac:dyDescent="0.25">
      <c r="A398" s="42">
        <v>46295</v>
      </c>
      <c r="B398" s="45">
        <v>0.95234953703703706</v>
      </c>
      <c r="C398" s="1">
        <v>444</v>
      </c>
      <c r="D398" s="50" t="s">
        <v>731</v>
      </c>
      <c r="E398" s="1" t="s">
        <v>58</v>
      </c>
      <c r="F398" s="49">
        <v>22000</v>
      </c>
      <c r="G398" s="1" t="s">
        <v>157</v>
      </c>
      <c r="H398" s="1"/>
    </row>
    <row r="399" spans="1:8" x14ac:dyDescent="0.25">
      <c r="A399" s="42">
        <v>46295</v>
      </c>
      <c r="B399" s="45">
        <v>0.95270833333333338</v>
      </c>
      <c r="C399" s="1">
        <v>441</v>
      </c>
      <c r="D399" s="50" t="s">
        <v>232</v>
      </c>
      <c r="E399" s="1" t="s">
        <v>154</v>
      </c>
      <c r="F399" s="49">
        <v>9000</v>
      </c>
      <c r="G399" s="1" t="s">
        <v>157</v>
      </c>
      <c r="H399" s="1"/>
    </row>
    <row r="400" spans="1:8" ht="30" x14ac:dyDescent="0.25">
      <c r="A400" s="42">
        <v>46295</v>
      </c>
      <c r="B400" s="45">
        <v>0.9544907407407407</v>
      </c>
      <c r="C400" s="1">
        <v>210</v>
      </c>
      <c r="D400" s="50" t="s">
        <v>178</v>
      </c>
      <c r="E400" s="1" t="s">
        <v>58</v>
      </c>
      <c r="F400" s="49">
        <v>40000</v>
      </c>
      <c r="G400" s="1" t="s">
        <v>521</v>
      </c>
      <c r="H400" s="1" t="s">
        <v>732</v>
      </c>
    </row>
    <row r="401" spans="1:8" ht="30" x14ac:dyDescent="0.25">
      <c r="A401" s="42">
        <v>46295</v>
      </c>
      <c r="B401" s="45">
        <v>0.95466435185185183</v>
      </c>
      <c r="C401" s="1">
        <v>230</v>
      </c>
      <c r="D401" s="50" t="s">
        <v>178</v>
      </c>
      <c r="E401" s="1" t="s">
        <v>154</v>
      </c>
      <c r="F401" s="49">
        <v>36000</v>
      </c>
      <c r="G401" s="1" t="s">
        <v>521</v>
      </c>
      <c r="H401" s="1" t="s">
        <v>733</v>
      </c>
    </row>
    <row r="402" spans="1:8" x14ac:dyDescent="0.25">
      <c r="A402" s="42">
        <v>46296</v>
      </c>
      <c r="B402" s="45">
        <v>1.5891203703703703E-2</v>
      </c>
      <c r="C402" s="1">
        <v>446</v>
      </c>
      <c r="D402" s="50" t="s">
        <v>43</v>
      </c>
      <c r="E402" s="1" t="s">
        <v>154</v>
      </c>
      <c r="F402" s="49">
        <v>18800</v>
      </c>
      <c r="G402" s="1" t="s">
        <v>157</v>
      </c>
      <c r="H402" s="1"/>
    </row>
    <row r="403" spans="1:8" ht="30" x14ac:dyDescent="0.25">
      <c r="A403" s="42">
        <v>46296</v>
      </c>
      <c r="B403" s="45">
        <v>1.6168981481481482E-2</v>
      </c>
      <c r="C403" s="1">
        <v>382</v>
      </c>
      <c r="D403" s="50" t="s">
        <v>168</v>
      </c>
      <c r="E403" s="1" t="s">
        <v>58</v>
      </c>
      <c r="F403" s="49">
        <v>12000</v>
      </c>
      <c r="G403" s="1" t="s">
        <v>521</v>
      </c>
      <c r="H403" s="1" t="s">
        <v>734</v>
      </c>
    </row>
    <row r="404" spans="1:8" ht="30" x14ac:dyDescent="0.25">
      <c r="A404" s="42">
        <v>46296</v>
      </c>
      <c r="B404" s="45">
        <v>1.6296296296296295E-2</v>
      </c>
      <c r="C404" s="1">
        <v>357</v>
      </c>
      <c r="D404" s="50" t="s">
        <v>168</v>
      </c>
      <c r="E404" s="1" t="s">
        <v>58</v>
      </c>
      <c r="F404" s="49">
        <v>7000</v>
      </c>
      <c r="G404" s="1" t="s">
        <v>521</v>
      </c>
      <c r="H404" s="1" t="s">
        <v>735</v>
      </c>
    </row>
    <row r="405" spans="1:8" x14ac:dyDescent="0.25">
      <c r="A405" s="42">
        <v>46296</v>
      </c>
      <c r="B405" s="45">
        <v>7.18287037037037E-2</v>
      </c>
      <c r="C405" s="1">
        <v>432</v>
      </c>
      <c r="D405" s="50" t="s">
        <v>43</v>
      </c>
      <c r="E405" s="1" t="s">
        <v>58</v>
      </c>
      <c r="F405" s="49">
        <v>14000</v>
      </c>
      <c r="G405" s="1" t="s">
        <v>157</v>
      </c>
      <c r="H405" s="1"/>
    </row>
    <row r="406" spans="1:8" x14ac:dyDescent="0.25">
      <c r="A406" s="42">
        <v>46296</v>
      </c>
      <c r="B406" s="45">
        <v>7.1979166666666664E-2</v>
      </c>
      <c r="C406" s="1">
        <v>435</v>
      </c>
      <c r="D406" s="50" t="s">
        <v>736</v>
      </c>
      <c r="E406" s="1" t="s">
        <v>154</v>
      </c>
      <c r="F406" s="49">
        <v>19000</v>
      </c>
      <c r="G406" s="1" t="s">
        <v>157</v>
      </c>
      <c r="H406" s="1"/>
    </row>
    <row r="407" spans="1:8" x14ac:dyDescent="0.25">
      <c r="A407" s="42">
        <v>46296</v>
      </c>
      <c r="B407" s="45">
        <v>7.2083333333333333E-2</v>
      </c>
      <c r="C407" s="1">
        <v>439</v>
      </c>
      <c r="D407" s="50" t="s">
        <v>737</v>
      </c>
      <c r="E407" s="1" t="s">
        <v>154</v>
      </c>
      <c r="F407" s="49">
        <v>12000</v>
      </c>
      <c r="G407" s="1" t="s">
        <v>157</v>
      </c>
      <c r="H407" s="1"/>
    </row>
    <row r="408" spans="1:8" ht="30" x14ac:dyDescent="0.25">
      <c r="A408" s="42">
        <v>46296</v>
      </c>
      <c r="B408" s="45">
        <v>0.66100694444444441</v>
      </c>
      <c r="C408" s="1">
        <v>355</v>
      </c>
      <c r="D408" s="50" t="s">
        <v>220</v>
      </c>
      <c r="E408" s="1" t="s">
        <v>154</v>
      </c>
      <c r="F408" s="49">
        <v>95000</v>
      </c>
      <c r="G408" s="1" t="s">
        <v>521</v>
      </c>
      <c r="H408" s="1" t="s">
        <v>738</v>
      </c>
    </row>
    <row r="409" spans="1:8" x14ac:dyDescent="0.25">
      <c r="A409" s="42">
        <v>46296</v>
      </c>
      <c r="B409" s="45">
        <v>0.66836805555555556</v>
      </c>
      <c r="C409" s="1">
        <v>448</v>
      </c>
      <c r="D409" s="50" t="s">
        <v>739</v>
      </c>
      <c r="E409" s="1" t="s">
        <v>154</v>
      </c>
      <c r="F409" s="49">
        <v>13400</v>
      </c>
      <c r="G409" s="1" t="s">
        <v>157</v>
      </c>
      <c r="H409" s="1"/>
    </row>
    <row r="410" spans="1:8" x14ac:dyDescent="0.25">
      <c r="A410" s="42">
        <v>46296</v>
      </c>
      <c r="B410" s="45">
        <v>0.79513888888888884</v>
      </c>
      <c r="C410" s="1">
        <v>451</v>
      </c>
      <c r="D410" s="50" t="s">
        <v>740</v>
      </c>
      <c r="E410" s="1" t="s">
        <v>58</v>
      </c>
      <c r="F410" s="49">
        <v>3000</v>
      </c>
      <c r="G410" s="1" t="s">
        <v>157</v>
      </c>
      <c r="H410" s="1"/>
    </row>
    <row r="411" spans="1:8" x14ac:dyDescent="0.25">
      <c r="A411" s="42">
        <v>46296</v>
      </c>
      <c r="B411" s="45">
        <v>0.8729513888888889</v>
      </c>
      <c r="C411" s="1">
        <v>452</v>
      </c>
      <c r="D411" s="50" t="s">
        <v>741</v>
      </c>
      <c r="E411" s="1" t="s">
        <v>154</v>
      </c>
      <c r="F411" s="49">
        <v>35000</v>
      </c>
      <c r="G411" s="1" t="s">
        <v>157</v>
      </c>
      <c r="H411" s="1"/>
    </row>
    <row r="412" spans="1:8" x14ac:dyDescent="0.25">
      <c r="A412" s="42">
        <v>46296</v>
      </c>
      <c r="B412" s="45">
        <v>0.88618055555555553</v>
      </c>
      <c r="C412" s="1">
        <v>455</v>
      </c>
      <c r="D412" s="50" t="s">
        <v>742</v>
      </c>
      <c r="E412" s="1" t="s">
        <v>58</v>
      </c>
      <c r="F412" s="49">
        <v>32000</v>
      </c>
      <c r="G412" s="1" t="s">
        <v>157</v>
      </c>
      <c r="H412" s="1"/>
    </row>
    <row r="413" spans="1:8" x14ac:dyDescent="0.25">
      <c r="A413" s="42">
        <v>46296</v>
      </c>
      <c r="B413" s="45">
        <v>0.9395486111111111</v>
      </c>
      <c r="C413" s="1">
        <v>459</v>
      </c>
      <c r="D413" s="50" t="s">
        <v>743</v>
      </c>
      <c r="E413" s="1" t="s">
        <v>58</v>
      </c>
      <c r="F413" s="49">
        <v>18000</v>
      </c>
      <c r="G413" s="1" t="s">
        <v>157</v>
      </c>
      <c r="H413" s="1"/>
    </row>
    <row r="414" spans="1:8" x14ac:dyDescent="0.25">
      <c r="A414" s="42">
        <v>46296</v>
      </c>
      <c r="B414" s="45">
        <v>0.95535879629629628</v>
      </c>
      <c r="C414" s="1">
        <v>457</v>
      </c>
      <c r="D414" s="50" t="s">
        <v>232</v>
      </c>
      <c r="E414" s="1" t="s">
        <v>154</v>
      </c>
      <c r="F414" s="49">
        <v>10000</v>
      </c>
      <c r="G414" s="1" t="s">
        <v>157</v>
      </c>
      <c r="H414" s="1"/>
    </row>
    <row r="415" spans="1:8" x14ac:dyDescent="0.25">
      <c r="A415" s="42">
        <v>46297</v>
      </c>
      <c r="B415" s="45">
        <v>1.5381944444444445E-2</v>
      </c>
      <c r="C415" s="1">
        <v>454</v>
      </c>
      <c r="D415" s="50" t="s">
        <v>613</v>
      </c>
      <c r="E415" s="1" t="s">
        <v>154</v>
      </c>
      <c r="F415" s="49">
        <v>10000</v>
      </c>
      <c r="G415" s="1" t="s">
        <v>157</v>
      </c>
      <c r="H415" s="1"/>
    </row>
    <row r="416" spans="1:8" x14ac:dyDescent="0.25">
      <c r="A416" s="42">
        <v>46297</v>
      </c>
      <c r="B416" s="45">
        <v>1.653935185185185E-2</v>
      </c>
      <c r="C416" s="1">
        <v>456</v>
      </c>
      <c r="D416" s="50" t="s">
        <v>202</v>
      </c>
      <c r="E416" s="1" t="s">
        <v>58</v>
      </c>
      <c r="F416" s="49">
        <v>20600</v>
      </c>
      <c r="G416" s="1" t="s">
        <v>157</v>
      </c>
      <c r="H416" s="1"/>
    </row>
    <row r="417" spans="1:8" x14ac:dyDescent="0.25">
      <c r="A417" s="42">
        <v>46297</v>
      </c>
      <c r="B417" s="45">
        <v>1.6851851851851851E-2</v>
      </c>
      <c r="C417" s="1">
        <v>453</v>
      </c>
      <c r="D417" s="50" t="s">
        <v>166</v>
      </c>
      <c r="E417" s="1" t="s">
        <v>58</v>
      </c>
      <c r="F417" s="49">
        <v>12000</v>
      </c>
      <c r="G417" s="1" t="s">
        <v>157</v>
      </c>
      <c r="H417" s="1"/>
    </row>
    <row r="418" spans="1:8" x14ac:dyDescent="0.25">
      <c r="A418" s="42">
        <v>46297</v>
      </c>
      <c r="B418" s="45">
        <v>1.787037037037037E-2</v>
      </c>
      <c r="C418" s="1">
        <v>458</v>
      </c>
      <c r="D418" s="50" t="s">
        <v>744</v>
      </c>
      <c r="E418" s="1" t="s">
        <v>58</v>
      </c>
      <c r="F418" s="49">
        <v>13000</v>
      </c>
      <c r="G418" s="1" t="s">
        <v>157</v>
      </c>
      <c r="H418" s="1"/>
    </row>
    <row r="419" spans="1:8" x14ac:dyDescent="0.25">
      <c r="A419" s="42">
        <v>46297</v>
      </c>
      <c r="B419" s="45">
        <v>1.8287037037037036E-2</v>
      </c>
      <c r="C419" s="1">
        <v>450</v>
      </c>
      <c r="D419" s="50" t="s">
        <v>43</v>
      </c>
      <c r="E419" s="1" t="s">
        <v>154</v>
      </c>
      <c r="F419" s="49">
        <v>35200</v>
      </c>
      <c r="G419" s="1" t="s">
        <v>157</v>
      </c>
      <c r="H419" s="1"/>
    </row>
    <row r="420" spans="1:8" x14ac:dyDescent="0.25">
      <c r="A420" s="42">
        <v>46297</v>
      </c>
      <c r="B420" s="45">
        <v>0.66228009259259257</v>
      </c>
      <c r="C420" s="1">
        <v>467</v>
      </c>
      <c r="D420" s="50" t="s">
        <v>617</v>
      </c>
      <c r="E420" s="1" t="s">
        <v>58</v>
      </c>
      <c r="F420" s="49">
        <v>6000</v>
      </c>
      <c r="G420" s="1" t="s">
        <v>157</v>
      </c>
      <c r="H420" s="1"/>
    </row>
    <row r="421" spans="1:8" x14ac:dyDescent="0.25">
      <c r="A421" s="42">
        <v>46297</v>
      </c>
      <c r="B421" s="45">
        <v>0.70177083333333334</v>
      </c>
      <c r="C421" s="1">
        <v>464</v>
      </c>
      <c r="D421" s="50" t="s">
        <v>621</v>
      </c>
      <c r="E421" s="1" t="s">
        <v>154</v>
      </c>
      <c r="F421" s="49">
        <v>31000</v>
      </c>
      <c r="G421" s="1" t="s">
        <v>157</v>
      </c>
      <c r="H421" s="1"/>
    </row>
    <row r="422" spans="1:8" x14ac:dyDescent="0.25">
      <c r="A422" s="42">
        <v>46297</v>
      </c>
      <c r="B422" s="45">
        <v>0.70584490740740746</v>
      </c>
      <c r="C422" s="1">
        <v>468</v>
      </c>
      <c r="D422" s="50" t="s">
        <v>619</v>
      </c>
      <c r="E422" s="1" t="s">
        <v>58</v>
      </c>
      <c r="F422" s="49">
        <v>6000</v>
      </c>
      <c r="G422" s="1" t="s">
        <v>157</v>
      </c>
      <c r="H422" s="1"/>
    </row>
    <row r="423" spans="1:8" x14ac:dyDescent="0.25">
      <c r="A423" s="42">
        <v>46297</v>
      </c>
      <c r="B423" s="45">
        <v>0.75550925925925927</v>
      </c>
      <c r="C423" s="1">
        <v>465</v>
      </c>
      <c r="D423" s="50" t="s">
        <v>616</v>
      </c>
      <c r="E423" s="1" t="s">
        <v>58</v>
      </c>
      <c r="F423" s="49">
        <v>13000</v>
      </c>
      <c r="G423" s="1" t="s">
        <v>157</v>
      </c>
      <c r="H423" s="1"/>
    </row>
    <row r="424" spans="1:8" x14ac:dyDescent="0.25">
      <c r="A424" s="42">
        <v>46297</v>
      </c>
      <c r="B424" s="45">
        <v>0.76569444444444446</v>
      </c>
      <c r="C424" s="1">
        <v>466</v>
      </c>
      <c r="D424" s="50" t="s">
        <v>620</v>
      </c>
      <c r="E424" s="1" t="s">
        <v>58</v>
      </c>
      <c r="F424" s="49">
        <v>40000</v>
      </c>
      <c r="G424" s="1" t="s">
        <v>157</v>
      </c>
      <c r="H424" s="1"/>
    </row>
    <row r="425" spans="1:8" x14ac:dyDescent="0.25">
      <c r="A425" s="42">
        <v>46297</v>
      </c>
      <c r="B425" s="45">
        <v>0.85311342592592587</v>
      </c>
      <c r="C425" s="1">
        <v>470</v>
      </c>
      <c r="D425" s="50" t="s">
        <v>168</v>
      </c>
      <c r="E425" s="1" t="s">
        <v>58</v>
      </c>
      <c r="F425" s="49">
        <v>23000</v>
      </c>
      <c r="G425" s="1" t="s">
        <v>157</v>
      </c>
      <c r="H425" s="1"/>
    </row>
    <row r="426" spans="1:8" x14ac:dyDescent="0.25">
      <c r="A426" s="42">
        <v>46297</v>
      </c>
      <c r="B426" s="45">
        <v>0.85315972222222225</v>
      </c>
      <c r="C426" s="1">
        <v>471</v>
      </c>
      <c r="D426" s="50" t="s">
        <v>234</v>
      </c>
      <c r="E426" s="1" t="s">
        <v>58</v>
      </c>
      <c r="F426" s="49">
        <v>27000</v>
      </c>
      <c r="G426" s="1" t="s">
        <v>157</v>
      </c>
      <c r="H426" s="1"/>
    </row>
    <row r="427" spans="1:8" x14ac:dyDescent="0.25">
      <c r="A427" s="42">
        <v>46297</v>
      </c>
      <c r="B427" s="45">
        <v>0.87460648148148146</v>
      </c>
      <c r="C427" s="1">
        <v>469</v>
      </c>
      <c r="D427" s="50" t="s">
        <v>42</v>
      </c>
      <c r="E427" s="1" t="s">
        <v>154</v>
      </c>
      <c r="F427" s="49">
        <v>36000</v>
      </c>
      <c r="G427" s="1" t="s">
        <v>157</v>
      </c>
      <c r="H427" s="1"/>
    </row>
    <row r="428" spans="1:8" x14ac:dyDescent="0.25">
      <c r="A428" s="42">
        <v>46297</v>
      </c>
      <c r="B428" s="45">
        <v>0.87930555555555556</v>
      </c>
      <c r="C428" s="1">
        <v>472</v>
      </c>
      <c r="D428" s="50" t="s">
        <v>797</v>
      </c>
      <c r="E428" s="1" t="s">
        <v>154</v>
      </c>
      <c r="F428" s="49">
        <v>28000</v>
      </c>
      <c r="G428" s="1" t="s">
        <v>157</v>
      </c>
      <c r="H428" s="1"/>
    </row>
    <row r="429" spans="1:8" x14ac:dyDescent="0.25">
      <c r="A429" s="42">
        <v>46297</v>
      </c>
      <c r="B429" s="45">
        <v>0.88325231481481481</v>
      </c>
      <c r="C429" s="1">
        <v>463</v>
      </c>
      <c r="D429" s="50" t="s">
        <v>615</v>
      </c>
      <c r="E429" s="1" t="s">
        <v>58</v>
      </c>
      <c r="F429" s="49">
        <v>54000</v>
      </c>
      <c r="G429" s="1" t="s">
        <v>157</v>
      </c>
      <c r="H429" s="1"/>
    </row>
    <row r="430" spans="1:8" x14ac:dyDescent="0.25">
      <c r="A430" s="42">
        <v>46297</v>
      </c>
      <c r="B430" s="45">
        <v>0.89547453703703705</v>
      </c>
      <c r="C430" s="1">
        <v>473</v>
      </c>
      <c r="D430" s="50" t="s">
        <v>798</v>
      </c>
      <c r="E430" s="1" t="s">
        <v>154</v>
      </c>
      <c r="F430" s="49">
        <v>51000</v>
      </c>
      <c r="G430" s="1" t="s">
        <v>157</v>
      </c>
      <c r="H430" s="1"/>
    </row>
    <row r="431" spans="1:8" x14ac:dyDescent="0.25">
      <c r="A431" s="42">
        <v>46297</v>
      </c>
      <c r="B431" s="45">
        <v>0.89908564814814818</v>
      </c>
      <c r="C431" s="1">
        <v>474</v>
      </c>
      <c r="D431" s="50" t="s">
        <v>503</v>
      </c>
      <c r="E431" s="1" t="s">
        <v>58</v>
      </c>
      <c r="F431" s="49">
        <v>48000</v>
      </c>
      <c r="G431" s="1" t="s">
        <v>157</v>
      </c>
      <c r="H431" s="1"/>
    </row>
    <row r="432" spans="1:8" x14ac:dyDescent="0.25">
      <c r="A432" s="42">
        <v>46297</v>
      </c>
      <c r="B432" s="45">
        <v>0.9196064814814815</v>
      </c>
      <c r="C432" s="1">
        <v>475</v>
      </c>
      <c r="D432" s="50" t="s">
        <v>429</v>
      </c>
      <c r="E432" s="1" t="s">
        <v>58</v>
      </c>
      <c r="F432" s="49">
        <v>10000</v>
      </c>
      <c r="G432" s="1" t="s">
        <v>157</v>
      </c>
      <c r="H432" s="1"/>
    </row>
    <row r="433" spans="1:8" x14ac:dyDescent="0.25">
      <c r="A433" s="42">
        <v>46297</v>
      </c>
      <c r="B433" s="45">
        <v>0.93640046296296298</v>
      </c>
      <c r="C433" s="1">
        <v>477</v>
      </c>
      <c r="D433" s="50" t="s">
        <v>800</v>
      </c>
      <c r="E433" s="1" t="s">
        <v>154</v>
      </c>
      <c r="F433" s="49">
        <v>7000</v>
      </c>
      <c r="G433" s="1" t="s">
        <v>157</v>
      </c>
      <c r="H433" s="1"/>
    </row>
    <row r="434" spans="1:8" x14ac:dyDescent="0.25">
      <c r="A434" s="42">
        <v>46297</v>
      </c>
      <c r="B434" s="45">
        <v>0.93648148148148147</v>
      </c>
      <c r="C434" s="1">
        <v>479</v>
      </c>
      <c r="D434" s="50" t="s">
        <v>216</v>
      </c>
      <c r="E434" s="1" t="s">
        <v>58</v>
      </c>
      <c r="F434" s="49">
        <v>6000</v>
      </c>
      <c r="G434" s="1" t="s">
        <v>157</v>
      </c>
      <c r="H434" s="1"/>
    </row>
    <row r="435" spans="1:8" x14ac:dyDescent="0.25">
      <c r="A435" s="42">
        <v>46297</v>
      </c>
      <c r="B435" s="45">
        <v>0.93659722222222219</v>
      </c>
      <c r="C435" s="1">
        <v>476</v>
      </c>
      <c r="D435" s="50" t="s">
        <v>799</v>
      </c>
      <c r="E435" s="1" t="s">
        <v>58</v>
      </c>
      <c r="F435" s="49">
        <v>4000</v>
      </c>
      <c r="G435" s="1" t="s">
        <v>157</v>
      </c>
      <c r="H435" s="1"/>
    </row>
    <row r="436" spans="1:8" x14ac:dyDescent="0.25">
      <c r="A436" s="42">
        <v>46297</v>
      </c>
      <c r="B436" s="45">
        <v>0.93670138888888888</v>
      </c>
      <c r="C436" s="1">
        <v>478</v>
      </c>
      <c r="D436" s="50" t="s">
        <v>626</v>
      </c>
      <c r="E436" s="1" t="s">
        <v>154</v>
      </c>
      <c r="F436" s="49">
        <v>6000</v>
      </c>
      <c r="G436" s="1" t="s">
        <v>157</v>
      </c>
      <c r="H436" s="1"/>
    </row>
    <row r="437" spans="1:8" x14ac:dyDescent="0.25">
      <c r="A437" s="42">
        <v>46297</v>
      </c>
      <c r="B437" s="45">
        <v>0.93714120370370368</v>
      </c>
      <c r="C437" s="1">
        <v>461</v>
      </c>
      <c r="D437" s="50" t="s">
        <v>43</v>
      </c>
      <c r="E437" s="1" t="s">
        <v>154</v>
      </c>
      <c r="F437" s="49">
        <v>6000</v>
      </c>
      <c r="G437" s="1" t="s">
        <v>157</v>
      </c>
      <c r="H437" s="1"/>
    </row>
    <row r="438" spans="1:8" x14ac:dyDescent="0.25">
      <c r="A438" s="42">
        <v>46297</v>
      </c>
      <c r="B438" s="45">
        <v>0.93718749999999995</v>
      </c>
      <c r="C438" s="1">
        <v>462</v>
      </c>
      <c r="D438" s="50" t="s">
        <v>43</v>
      </c>
      <c r="E438" s="1" t="s">
        <v>154</v>
      </c>
      <c r="F438" s="49">
        <v>29000</v>
      </c>
      <c r="G438" s="1" t="s">
        <v>157</v>
      </c>
      <c r="H438" s="1"/>
    </row>
    <row r="439" spans="1:8" x14ac:dyDescent="0.25">
      <c r="A439" s="42">
        <v>46298</v>
      </c>
      <c r="B439" s="45">
        <v>0.74283564814814818</v>
      </c>
      <c r="C439" s="1">
        <v>483</v>
      </c>
      <c r="D439" s="50" t="s">
        <v>231</v>
      </c>
      <c r="E439" s="1" t="s">
        <v>58</v>
      </c>
      <c r="F439" s="49">
        <v>3000</v>
      </c>
      <c r="G439" s="1" t="s">
        <v>157</v>
      </c>
      <c r="H439" s="1"/>
    </row>
    <row r="440" spans="1:8" x14ac:dyDescent="0.25">
      <c r="A440" s="42">
        <v>46298</v>
      </c>
      <c r="B440" s="45">
        <v>0.78450231481481481</v>
      </c>
      <c r="C440" s="1">
        <v>483</v>
      </c>
      <c r="D440" s="50" t="s">
        <v>503</v>
      </c>
      <c r="E440" s="1" t="s">
        <v>58</v>
      </c>
      <c r="F440" s="49">
        <v>10000</v>
      </c>
      <c r="G440" s="1" t="s">
        <v>157</v>
      </c>
      <c r="H440" s="1"/>
    </row>
    <row r="441" spans="1:8" x14ac:dyDescent="0.25">
      <c r="A441" s="50">
        <v>46298</v>
      </c>
      <c r="B441" s="45">
        <v>0.8200925925925926</v>
      </c>
      <c r="C441" s="1">
        <v>484</v>
      </c>
      <c r="D441" s="50" t="s">
        <v>42</v>
      </c>
      <c r="E441" s="1" t="s">
        <v>154</v>
      </c>
      <c r="F441" s="49">
        <v>32000</v>
      </c>
      <c r="G441" s="1" t="s">
        <v>157</v>
      </c>
      <c r="H441" s="1"/>
    </row>
    <row r="442" spans="1:8" x14ac:dyDescent="0.25">
      <c r="A442" s="50">
        <v>46298</v>
      </c>
      <c r="B442" s="45">
        <v>0.820775462962963</v>
      </c>
      <c r="C442" s="1">
        <v>480</v>
      </c>
      <c r="D442" s="50" t="s">
        <v>178</v>
      </c>
      <c r="E442" s="1" t="s">
        <v>154</v>
      </c>
      <c r="F442" s="49">
        <v>19000</v>
      </c>
      <c r="G442" s="1" t="s">
        <v>157</v>
      </c>
      <c r="H442" s="1"/>
    </row>
    <row r="443" spans="1:8" x14ac:dyDescent="0.25">
      <c r="A443" s="50">
        <v>46298</v>
      </c>
      <c r="B443" s="45">
        <v>0.92712962962962964</v>
      </c>
      <c r="C443" s="1">
        <v>485</v>
      </c>
      <c r="D443" s="50" t="s">
        <v>134</v>
      </c>
      <c r="E443" s="1" t="s">
        <v>58</v>
      </c>
      <c r="F443" s="49">
        <v>32000</v>
      </c>
      <c r="G443" s="1" t="s">
        <v>157</v>
      </c>
      <c r="H443" s="1"/>
    </row>
    <row r="444" spans="1:8" x14ac:dyDescent="0.25">
      <c r="A444" s="50">
        <v>46298</v>
      </c>
      <c r="B444" s="45">
        <v>0.96399305555555559</v>
      </c>
      <c r="C444" s="1">
        <v>488</v>
      </c>
      <c r="D444" s="50" t="s">
        <v>134</v>
      </c>
      <c r="E444" s="1" t="s">
        <v>58</v>
      </c>
      <c r="F444" s="49">
        <v>14000</v>
      </c>
      <c r="G444" s="1" t="s">
        <v>157</v>
      </c>
      <c r="H444" s="1"/>
    </row>
    <row r="445" spans="1:8" x14ac:dyDescent="0.25">
      <c r="A445" s="50">
        <v>46298</v>
      </c>
      <c r="B445" s="45">
        <v>0.96405092592592589</v>
      </c>
      <c r="C445" s="1">
        <v>489</v>
      </c>
      <c r="D445" s="50" t="s">
        <v>255</v>
      </c>
      <c r="E445" s="1" t="s">
        <v>58</v>
      </c>
      <c r="F445" s="49">
        <v>6000</v>
      </c>
      <c r="G445" s="1" t="s">
        <v>157</v>
      </c>
      <c r="H445" s="1"/>
    </row>
    <row r="446" spans="1:8" x14ac:dyDescent="0.25">
      <c r="A446" s="50">
        <v>46298</v>
      </c>
      <c r="B446" s="45">
        <v>0.9854398148148148</v>
      </c>
      <c r="C446" s="1">
        <v>486</v>
      </c>
      <c r="D446" s="50" t="s">
        <v>463</v>
      </c>
      <c r="E446" s="1" t="s">
        <v>154</v>
      </c>
      <c r="F446" s="49">
        <v>28000</v>
      </c>
      <c r="G446" s="1" t="s">
        <v>157</v>
      </c>
      <c r="H446" s="1"/>
    </row>
    <row r="447" spans="1:8" x14ac:dyDescent="0.25">
      <c r="A447" s="50">
        <v>46298</v>
      </c>
      <c r="B447" s="45">
        <v>0.9884722222222222</v>
      </c>
      <c r="C447" s="1">
        <v>487</v>
      </c>
      <c r="D447" s="50" t="s">
        <v>441</v>
      </c>
      <c r="E447" s="1" t="s">
        <v>58</v>
      </c>
      <c r="F447" s="49">
        <v>20000</v>
      </c>
      <c r="G447" s="1" t="s">
        <v>157</v>
      </c>
      <c r="H447" s="1"/>
    </row>
    <row r="448" spans="1:8" x14ac:dyDescent="0.25">
      <c r="A448" s="50">
        <v>46299</v>
      </c>
      <c r="B448" s="45">
        <v>3.7280092592592594E-2</v>
      </c>
      <c r="C448" s="1">
        <v>481</v>
      </c>
      <c r="D448" s="50" t="s">
        <v>43</v>
      </c>
      <c r="E448" s="1" t="s">
        <v>154</v>
      </c>
      <c r="F448" s="49">
        <v>16000</v>
      </c>
      <c r="G448" s="1" t="s">
        <v>157</v>
      </c>
      <c r="H448" s="1"/>
    </row>
    <row r="449" spans="1:8" x14ac:dyDescent="0.25">
      <c r="A449" s="50">
        <v>46300</v>
      </c>
      <c r="B449" s="45">
        <v>0.87061342592592594</v>
      </c>
      <c r="C449" s="1">
        <v>490</v>
      </c>
      <c r="D449" s="50" t="s">
        <v>174</v>
      </c>
      <c r="E449" s="1" t="s">
        <v>58</v>
      </c>
      <c r="F449" s="49">
        <v>18000</v>
      </c>
      <c r="G449" s="1" t="s">
        <v>157</v>
      </c>
      <c r="H449" s="1"/>
    </row>
    <row r="450" spans="1:8" x14ac:dyDescent="0.25">
      <c r="A450" s="50">
        <v>46300</v>
      </c>
      <c r="B450" s="45">
        <v>0.87061342592592594</v>
      </c>
      <c r="C450" s="1">
        <v>491</v>
      </c>
      <c r="D450" s="50" t="s">
        <v>134</v>
      </c>
      <c r="E450" s="1" t="s">
        <v>58</v>
      </c>
      <c r="F450" s="49">
        <v>14000</v>
      </c>
      <c r="G450" s="1" t="s">
        <v>157</v>
      </c>
      <c r="H450" s="1"/>
    </row>
    <row r="451" spans="1:8" x14ac:dyDescent="0.25">
      <c r="A451" s="50">
        <v>46300</v>
      </c>
      <c r="B451" s="45">
        <v>0.87061342592592594</v>
      </c>
      <c r="C451" s="1">
        <v>492</v>
      </c>
      <c r="D451" s="50" t="s">
        <v>134</v>
      </c>
      <c r="E451" s="1" t="s">
        <v>58</v>
      </c>
      <c r="F451" s="49">
        <v>26000</v>
      </c>
      <c r="G451" s="1" t="s">
        <v>157</v>
      </c>
      <c r="H451" s="1"/>
    </row>
    <row r="452" spans="1:8" x14ac:dyDescent="0.25">
      <c r="A452" s="50">
        <v>46300</v>
      </c>
      <c r="B452" s="45">
        <v>0.87061342592592594</v>
      </c>
      <c r="C452" s="1">
        <v>493</v>
      </c>
      <c r="D452" s="50" t="s">
        <v>134</v>
      </c>
      <c r="E452" s="1" t="s">
        <v>154</v>
      </c>
      <c r="F452" s="49">
        <v>18000</v>
      </c>
      <c r="G452" s="1" t="s">
        <v>157</v>
      </c>
      <c r="H452" s="1"/>
    </row>
    <row r="453" spans="1:8" x14ac:dyDescent="0.25">
      <c r="A453" s="50">
        <v>46300</v>
      </c>
      <c r="B453" s="45">
        <v>0.87061342592592594</v>
      </c>
      <c r="C453" s="1">
        <v>494</v>
      </c>
      <c r="D453" s="50" t="s">
        <v>503</v>
      </c>
      <c r="E453" s="1" t="s">
        <v>58</v>
      </c>
      <c r="F453" s="49">
        <v>14800</v>
      </c>
      <c r="G453" s="1" t="s">
        <v>157</v>
      </c>
      <c r="H453" s="1"/>
    </row>
    <row r="454" spans="1:8" x14ac:dyDescent="0.25">
      <c r="A454" s="50">
        <v>46300</v>
      </c>
      <c r="B454" s="45">
        <v>0.87061342592592594</v>
      </c>
      <c r="C454" s="1">
        <v>494</v>
      </c>
      <c r="D454" s="50" t="s">
        <v>503</v>
      </c>
      <c r="E454" s="1" t="s">
        <v>154</v>
      </c>
      <c r="F454" s="49">
        <v>12000</v>
      </c>
      <c r="G454" s="1" t="s">
        <v>157</v>
      </c>
      <c r="H454" s="1"/>
    </row>
    <row r="455" spans="1:8" x14ac:dyDescent="0.25">
      <c r="A455" s="50">
        <v>46300</v>
      </c>
      <c r="B455" s="45">
        <v>0.87061342592592594</v>
      </c>
      <c r="C455" s="1">
        <v>495</v>
      </c>
      <c r="D455" s="50" t="s">
        <v>166</v>
      </c>
      <c r="E455" s="1" t="s">
        <v>58</v>
      </c>
      <c r="F455" s="49">
        <v>6000</v>
      </c>
      <c r="G455" s="1" t="s">
        <v>157</v>
      </c>
      <c r="H455" s="1"/>
    </row>
    <row r="456" spans="1:8" x14ac:dyDescent="0.25">
      <c r="A456" s="50">
        <v>46302</v>
      </c>
      <c r="B456" s="45">
        <v>0.65112268518518523</v>
      </c>
      <c r="C456" s="1">
        <v>496</v>
      </c>
      <c r="D456" s="50" t="s">
        <v>178</v>
      </c>
      <c r="E456" s="1" t="s">
        <v>58</v>
      </c>
      <c r="F456" s="49">
        <v>3000</v>
      </c>
      <c r="G456" s="1" t="s">
        <v>157</v>
      </c>
      <c r="H456" s="1"/>
    </row>
    <row r="457" spans="1:8" x14ac:dyDescent="0.25">
      <c r="A457" s="50">
        <v>46302</v>
      </c>
      <c r="B457" s="45">
        <v>0.65167824074074077</v>
      </c>
      <c r="C457" s="1">
        <v>497</v>
      </c>
      <c r="D457" s="50" t="s">
        <v>177</v>
      </c>
      <c r="E457" s="1" t="s">
        <v>58</v>
      </c>
      <c r="F457" s="49">
        <v>10000</v>
      </c>
      <c r="G457" s="1" t="s">
        <v>157</v>
      </c>
      <c r="H457" s="1"/>
    </row>
    <row r="458" spans="1:8" x14ac:dyDescent="0.25">
      <c r="A458" s="50">
        <v>46302</v>
      </c>
      <c r="B458" s="45">
        <v>0.75457175925925923</v>
      </c>
      <c r="C458" s="1">
        <v>509</v>
      </c>
      <c r="D458" s="50" t="s">
        <v>134</v>
      </c>
      <c r="E458" s="1" t="s">
        <v>58</v>
      </c>
      <c r="F458" s="49">
        <v>9000</v>
      </c>
      <c r="G458" s="1" t="s">
        <v>157</v>
      </c>
      <c r="H458" s="1"/>
    </row>
    <row r="459" spans="1:8" x14ac:dyDescent="0.25">
      <c r="A459" s="50">
        <v>46302</v>
      </c>
      <c r="B459" s="45">
        <v>0.76261574074074079</v>
      </c>
      <c r="C459" s="1">
        <v>510</v>
      </c>
      <c r="D459" s="50" t="s">
        <v>134</v>
      </c>
      <c r="E459" s="1" t="s">
        <v>58</v>
      </c>
      <c r="F459" s="49">
        <v>10000</v>
      </c>
      <c r="G459" s="1" t="s">
        <v>157</v>
      </c>
      <c r="H459" s="1"/>
    </row>
    <row r="460" spans="1:8" x14ac:dyDescent="0.25">
      <c r="A460" s="50">
        <v>46302</v>
      </c>
      <c r="B460" s="45">
        <v>0.85421296296296301</v>
      </c>
      <c r="C460" s="1">
        <v>506</v>
      </c>
      <c r="D460" s="50" t="s">
        <v>203</v>
      </c>
      <c r="E460" s="1" t="s">
        <v>154</v>
      </c>
      <c r="F460" s="49">
        <v>32000</v>
      </c>
      <c r="G460" s="1" t="s">
        <v>157</v>
      </c>
      <c r="H460" s="1"/>
    </row>
    <row r="461" spans="1:8" x14ac:dyDescent="0.25">
      <c r="A461" s="50">
        <v>46302</v>
      </c>
      <c r="B461" s="45">
        <v>0.85452546296296295</v>
      </c>
      <c r="C461" s="1">
        <v>517</v>
      </c>
      <c r="D461" s="50" t="s">
        <v>134</v>
      </c>
      <c r="E461" s="1" t="s">
        <v>154</v>
      </c>
      <c r="F461" s="49">
        <v>10000</v>
      </c>
      <c r="G461" s="1" t="s">
        <v>157</v>
      </c>
      <c r="H461" s="1"/>
    </row>
    <row r="462" spans="1:8" x14ac:dyDescent="0.25">
      <c r="A462" s="50">
        <v>46302</v>
      </c>
      <c r="B462" s="45">
        <v>0.85896990740740742</v>
      </c>
      <c r="C462" s="1">
        <v>513</v>
      </c>
      <c r="D462" s="50" t="s">
        <v>201</v>
      </c>
      <c r="E462" s="1" t="s">
        <v>154</v>
      </c>
      <c r="F462" s="49">
        <v>13000</v>
      </c>
      <c r="G462" s="1" t="s">
        <v>157</v>
      </c>
      <c r="H462" s="1"/>
    </row>
    <row r="463" spans="1:8" x14ac:dyDescent="0.25">
      <c r="A463" s="50">
        <v>46302</v>
      </c>
      <c r="B463" s="45">
        <v>0.85935185185185181</v>
      </c>
      <c r="C463" s="1">
        <v>514</v>
      </c>
      <c r="D463" s="50" t="s">
        <v>134</v>
      </c>
      <c r="E463" s="1" t="s">
        <v>58</v>
      </c>
      <c r="F463" s="49">
        <v>12000</v>
      </c>
      <c r="G463" s="1" t="s">
        <v>157</v>
      </c>
      <c r="H463" s="1"/>
    </row>
    <row r="464" spans="1:8" x14ac:dyDescent="0.25">
      <c r="A464" s="50">
        <v>46302</v>
      </c>
      <c r="B464" s="45">
        <v>0.85956018518518518</v>
      </c>
      <c r="C464" s="1">
        <v>501</v>
      </c>
      <c r="D464" s="50" t="s">
        <v>46</v>
      </c>
      <c r="E464" s="1" t="s">
        <v>154</v>
      </c>
      <c r="F464" s="49">
        <v>4000</v>
      </c>
      <c r="G464" s="1" t="s">
        <v>157</v>
      </c>
      <c r="H464" s="1"/>
    </row>
    <row r="465" spans="1:8" x14ac:dyDescent="0.25">
      <c r="A465" s="50">
        <v>46302</v>
      </c>
      <c r="B465" s="45">
        <v>0.85961805555555559</v>
      </c>
      <c r="C465" s="1">
        <v>499</v>
      </c>
      <c r="D465" s="50" t="s">
        <v>45</v>
      </c>
      <c r="E465" s="1" t="s">
        <v>154</v>
      </c>
      <c r="F465" s="49">
        <v>9000</v>
      </c>
      <c r="G465" s="1" t="s">
        <v>157</v>
      </c>
      <c r="H465" s="1"/>
    </row>
    <row r="466" spans="1:8" x14ac:dyDescent="0.25">
      <c r="A466" s="50">
        <v>46302</v>
      </c>
      <c r="B466" s="45">
        <v>0.87967592592592592</v>
      </c>
      <c r="C466" s="1">
        <v>520</v>
      </c>
      <c r="D466" s="50" t="s">
        <v>842</v>
      </c>
      <c r="E466" s="1" t="s">
        <v>154</v>
      </c>
      <c r="F466" s="49">
        <v>12000</v>
      </c>
      <c r="G466" s="1" t="s">
        <v>157</v>
      </c>
      <c r="H466" s="1"/>
    </row>
    <row r="467" spans="1:8" x14ac:dyDescent="0.25">
      <c r="A467" s="50">
        <v>46302</v>
      </c>
      <c r="B467" s="45">
        <v>0.8797800925925926</v>
      </c>
      <c r="C467" s="1">
        <v>520</v>
      </c>
      <c r="D467" s="50" t="s">
        <v>842</v>
      </c>
      <c r="E467" s="1" t="s">
        <v>58</v>
      </c>
      <c r="F467" s="49">
        <v>12000</v>
      </c>
      <c r="G467" s="1" t="s">
        <v>157</v>
      </c>
      <c r="H467" s="1"/>
    </row>
    <row r="468" spans="1:8" x14ac:dyDescent="0.25">
      <c r="A468" s="50">
        <v>46302</v>
      </c>
      <c r="B468" s="45">
        <v>0.88043981481481481</v>
      </c>
      <c r="C468" s="1">
        <v>507</v>
      </c>
      <c r="D468" s="50" t="s">
        <v>612</v>
      </c>
      <c r="E468" s="1" t="s">
        <v>58</v>
      </c>
      <c r="F468" s="49">
        <v>52000</v>
      </c>
      <c r="G468" s="1" t="s">
        <v>157</v>
      </c>
      <c r="H468" s="1"/>
    </row>
    <row r="469" spans="1:8" x14ac:dyDescent="0.25">
      <c r="A469" s="50">
        <v>46302</v>
      </c>
      <c r="B469" s="45">
        <v>0.88081018518518517</v>
      </c>
      <c r="C469" s="1">
        <v>521</v>
      </c>
      <c r="D469" s="50" t="s">
        <v>134</v>
      </c>
      <c r="E469" s="1" t="s">
        <v>58</v>
      </c>
      <c r="F469" s="49">
        <v>6000</v>
      </c>
      <c r="G469" s="1" t="s">
        <v>157</v>
      </c>
      <c r="H469" s="1"/>
    </row>
    <row r="470" spans="1:8" x14ac:dyDescent="0.25">
      <c r="A470" s="50">
        <v>46302</v>
      </c>
      <c r="B470" s="45">
        <v>0.88260416666666663</v>
      </c>
      <c r="C470" s="1">
        <v>508</v>
      </c>
      <c r="D470" s="50" t="s">
        <v>840</v>
      </c>
      <c r="E470" s="1" t="s">
        <v>58</v>
      </c>
      <c r="F470" s="49">
        <v>3000</v>
      </c>
      <c r="G470" s="1" t="s">
        <v>157</v>
      </c>
      <c r="H470" s="1"/>
    </row>
    <row r="471" spans="1:8" x14ac:dyDescent="0.25">
      <c r="A471" s="50">
        <v>46302</v>
      </c>
      <c r="B471" s="45">
        <v>0.88949074074074075</v>
      </c>
      <c r="C471" s="1">
        <v>519</v>
      </c>
      <c r="D471" s="50" t="s">
        <v>216</v>
      </c>
      <c r="E471" s="1" t="s">
        <v>58</v>
      </c>
      <c r="F471" s="49">
        <v>6000</v>
      </c>
      <c r="G471" s="1" t="s">
        <v>157</v>
      </c>
      <c r="H471" s="1"/>
    </row>
    <row r="472" spans="1:8" x14ac:dyDescent="0.25">
      <c r="A472" s="50">
        <v>46302</v>
      </c>
      <c r="B472" s="45">
        <v>0.88998842592592597</v>
      </c>
      <c r="C472" s="1">
        <v>516</v>
      </c>
      <c r="D472" s="50" t="s">
        <v>232</v>
      </c>
      <c r="E472" s="1" t="s">
        <v>154</v>
      </c>
      <c r="F472" s="49">
        <v>10000</v>
      </c>
      <c r="G472" s="1" t="s">
        <v>157</v>
      </c>
      <c r="H472" s="1"/>
    </row>
    <row r="473" spans="1:8" x14ac:dyDescent="0.25">
      <c r="A473" s="50">
        <v>46302</v>
      </c>
      <c r="B473" s="45">
        <v>0.89004629629629628</v>
      </c>
      <c r="C473" s="1">
        <v>515</v>
      </c>
      <c r="D473" s="50" t="s">
        <v>232</v>
      </c>
      <c r="E473" s="1" t="s">
        <v>154</v>
      </c>
      <c r="F473" s="49">
        <v>6000</v>
      </c>
      <c r="G473" s="1" t="s">
        <v>157</v>
      </c>
      <c r="H473" s="1"/>
    </row>
    <row r="474" spans="1:8" x14ac:dyDescent="0.25">
      <c r="A474" s="50">
        <v>46302</v>
      </c>
      <c r="B474" s="45">
        <v>0.90122685185185181</v>
      </c>
      <c r="C474" s="1">
        <v>498</v>
      </c>
      <c r="D474" s="50" t="s">
        <v>228</v>
      </c>
      <c r="E474" s="1" t="s">
        <v>154</v>
      </c>
      <c r="F474" s="49">
        <v>39000</v>
      </c>
      <c r="G474" s="1" t="s">
        <v>157</v>
      </c>
      <c r="H474" s="1"/>
    </row>
    <row r="475" spans="1:8" x14ac:dyDescent="0.25">
      <c r="A475" s="50">
        <v>46302</v>
      </c>
      <c r="B475" s="45">
        <v>0.90252314814814816</v>
      </c>
      <c r="C475" s="1">
        <v>518</v>
      </c>
      <c r="D475" s="50" t="s">
        <v>841</v>
      </c>
      <c r="E475" s="1" t="s">
        <v>58</v>
      </c>
      <c r="F475" s="49">
        <v>8000</v>
      </c>
      <c r="G475" s="1" t="s">
        <v>157</v>
      </c>
      <c r="H475" s="1"/>
    </row>
    <row r="476" spans="1:8" x14ac:dyDescent="0.25">
      <c r="A476" s="50">
        <v>46302</v>
      </c>
      <c r="B476" s="45">
        <v>0.90759259259259262</v>
      </c>
      <c r="C476" s="1">
        <v>523</v>
      </c>
      <c r="D476" s="50" t="s">
        <v>134</v>
      </c>
      <c r="E476" s="1" t="s">
        <v>58</v>
      </c>
      <c r="F476" s="49">
        <v>10000</v>
      </c>
      <c r="G476" s="1" t="s">
        <v>157</v>
      </c>
      <c r="H476" s="1"/>
    </row>
    <row r="477" spans="1:8" ht="30" x14ac:dyDescent="0.25">
      <c r="A477" s="50">
        <v>46302</v>
      </c>
      <c r="B477" s="45">
        <v>0.9421180555555555</v>
      </c>
      <c r="C477" s="1">
        <v>505</v>
      </c>
      <c r="D477" s="50" t="s">
        <v>730</v>
      </c>
      <c r="E477" s="1" t="s">
        <v>58</v>
      </c>
      <c r="F477" s="49">
        <v>12200</v>
      </c>
      <c r="G477" s="1" t="s">
        <v>521</v>
      </c>
      <c r="H477" s="1" t="s">
        <v>844</v>
      </c>
    </row>
    <row r="478" spans="1:8" x14ac:dyDescent="0.25">
      <c r="A478" s="50">
        <v>46302</v>
      </c>
      <c r="B478" s="45">
        <v>0.95267361111111115</v>
      </c>
      <c r="C478" s="1">
        <v>511</v>
      </c>
      <c r="D478" s="50" t="s">
        <v>178</v>
      </c>
      <c r="E478" s="1" t="s">
        <v>58</v>
      </c>
      <c r="F478" s="49">
        <v>19000</v>
      </c>
      <c r="G478" s="1" t="s">
        <v>157</v>
      </c>
      <c r="H478" s="1"/>
    </row>
    <row r="479" spans="1:8" x14ac:dyDescent="0.25">
      <c r="A479" s="50">
        <v>46302</v>
      </c>
      <c r="B479" s="45">
        <v>0.96383101851851849</v>
      </c>
      <c r="C479" s="1">
        <v>525</v>
      </c>
      <c r="D479" s="50" t="s">
        <v>203</v>
      </c>
      <c r="E479" s="1" t="s">
        <v>58</v>
      </c>
      <c r="F479" s="49">
        <v>3800</v>
      </c>
      <c r="G479" s="1" t="s">
        <v>157</v>
      </c>
      <c r="H479" s="1"/>
    </row>
    <row r="480" spans="1:8" x14ac:dyDescent="0.25">
      <c r="A480" s="50">
        <v>46302</v>
      </c>
      <c r="B480" s="45">
        <v>0.98281249999999998</v>
      </c>
      <c r="C480" s="1">
        <v>524</v>
      </c>
      <c r="D480" s="50" t="s">
        <v>516</v>
      </c>
      <c r="E480" s="1" t="s">
        <v>154</v>
      </c>
      <c r="F480" s="49">
        <v>13000</v>
      </c>
      <c r="G480" s="1" t="s">
        <v>157</v>
      </c>
      <c r="H480" s="1"/>
    </row>
    <row r="481" spans="1:8" x14ac:dyDescent="0.25">
      <c r="A481" s="50">
        <v>46302</v>
      </c>
      <c r="B481" s="45">
        <v>0.98412037037037037</v>
      </c>
      <c r="C481" s="1">
        <v>522</v>
      </c>
      <c r="D481" s="50" t="s">
        <v>168</v>
      </c>
      <c r="E481" s="1" t="s">
        <v>154</v>
      </c>
      <c r="F481" s="49">
        <v>4000</v>
      </c>
      <c r="G481" s="1" t="s">
        <v>157</v>
      </c>
      <c r="H481" s="1"/>
    </row>
    <row r="482" spans="1:8" x14ac:dyDescent="0.25">
      <c r="A482" s="50">
        <v>46302</v>
      </c>
      <c r="B482" s="45">
        <v>0.98521990740740739</v>
      </c>
      <c r="C482" s="1">
        <v>500</v>
      </c>
      <c r="D482" s="50" t="s">
        <v>43</v>
      </c>
      <c r="E482" s="1" t="s">
        <v>154</v>
      </c>
      <c r="F482" s="49">
        <v>30000</v>
      </c>
      <c r="G482" s="1" t="s">
        <v>157</v>
      </c>
      <c r="H482" s="1"/>
    </row>
    <row r="483" spans="1:8" x14ac:dyDescent="0.25">
      <c r="A483" s="50">
        <v>46303</v>
      </c>
      <c r="B483" s="45">
        <v>0.93596064814814817</v>
      </c>
      <c r="C483" s="1">
        <v>531</v>
      </c>
      <c r="D483" s="50" t="s">
        <v>889</v>
      </c>
      <c r="E483" s="1" t="s">
        <v>154</v>
      </c>
      <c r="F483" s="49">
        <v>22000</v>
      </c>
      <c r="G483" s="1" t="s">
        <v>157</v>
      </c>
      <c r="H483" s="1"/>
    </row>
    <row r="484" spans="1:8" x14ac:dyDescent="0.25">
      <c r="A484" s="50">
        <v>46303</v>
      </c>
      <c r="B484" s="45">
        <v>0.93596064814814817</v>
      </c>
      <c r="C484" s="1">
        <v>532</v>
      </c>
      <c r="D484" s="50" t="s">
        <v>890</v>
      </c>
      <c r="E484" s="1" t="s">
        <v>58</v>
      </c>
      <c r="F484" s="49">
        <v>26000</v>
      </c>
      <c r="G484" s="1" t="s">
        <v>157</v>
      </c>
      <c r="H484" s="1"/>
    </row>
    <row r="485" spans="1:8" x14ac:dyDescent="0.25">
      <c r="A485" s="50">
        <v>46303</v>
      </c>
      <c r="B485" s="45">
        <v>0.93596064814814817</v>
      </c>
      <c r="C485" s="1">
        <v>534</v>
      </c>
      <c r="D485" s="50" t="s">
        <v>202</v>
      </c>
      <c r="E485" s="1" t="s">
        <v>58</v>
      </c>
      <c r="F485" s="49">
        <v>18400</v>
      </c>
      <c r="G485" s="1" t="s">
        <v>157</v>
      </c>
      <c r="H485" s="1"/>
    </row>
    <row r="486" spans="1:8" x14ac:dyDescent="0.25">
      <c r="A486" s="50">
        <v>46303</v>
      </c>
      <c r="B486" s="45">
        <v>0.93596064814814817</v>
      </c>
      <c r="C486" s="1">
        <v>535</v>
      </c>
      <c r="D486" s="50" t="s">
        <v>134</v>
      </c>
      <c r="E486" s="1" t="s">
        <v>154</v>
      </c>
      <c r="F486" s="49">
        <v>9000</v>
      </c>
      <c r="G486" s="1" t="s">
        <v>157</v>
      </c>
      <c r="H486" s="1"/>
    </row>
    <row r="487" spans="1:8" x14ac:dyDescent="0.25">
      <c r="A487" s="50">
        <v>46303</v>
      </c>
      <c r="B487" s="45">
        <v>0.94081018518518522</v>
      </c>
      <c r="C487" s="1">
        <v>529</v>
      </c>
      <c r="D487" s="50" t="s">
        <v>212</v>
      </c>
      <c r="E487" s="1" t="s">
        <v>154</v>
      </c>
      <c r="F487" s="49">
        <v>10000</v>
      </c>
      <c r="G487" s="1" t="s">
        <v>157</v>
      </c>
      <c r="H487" s="1"/>
    </row>
    <row r="488" spans="1:8" x14ac:dyDescent="0.25">
      <c r="A488" s="50">
        <v>46303</v>
      </c>
      <c r="B488" s="45">
        <v>0.94089120370370372</v>
      </c>
      <c r="C488" s="1">
        <v>530</v>
      </c>
      <c r="D488" s="50" t="s">
        <v>614</v>
      </c>
      <c r="E488" s="1" t="s">
        <v>154</v>
      </c>
      <c r="F488" s="49">
        <v>9000</v>
      </c>
      <c r="G488" s="1" t="s">
        <v>157</v>
      </c>
      <c r="H488" s="1"/>
    </row>
    <row r="489" spans="1:8" x14ac:dyDescent="0.25">
      <c r="A489" s="50">
        <v>46303</v>
      </c>
      <c r="B489" s="45">
        <v>0.96405092592592589</v>
      </c>
      <c r="C489" s="1">
        <v>528</v>
      </c>
      <c r="D489" s="50" t="s">
        <v>213</v>
      </c>
      <c r="E489" s="1" t="s">
        <v>154</v>
      </c>
      <c r="F489" s="49">
        <v>18000</v>
      </c>
      <c r="G489" s="1" t="s">
        <v>157</v>
      </c>
      <c r="H489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CD8C-E2F8-4C07-8AD1-3B5626C8FA20}">
  <sheetPr codeName="Hoja7"/>
  <dimension ref="A1:B6"/>
  <sheetViews>
    <sheetView workbookViewId="0">
      <selection activeCell="B3" sqref="B3"/>
    </sheetView>
  </sheetViews>
  <sheetFormatPr baseColWidth="10" defaultRowHeight="15" x14ac:dyDescent="0.25"/>
  <cols>
    <col min="1" max="1" width="15.42578125" customWidth="1"/>
    <col min="2" max="2" width="28.85546875" customWidth="1"/>
  </cols>
  <sheetData>
    <row r="1" spans="1:2" x14ac:dyDescent="0.25">
      <c r="A1" s="2" t="s">
        <v>59</v>
      </c>
      <c r="B1" s="2" t="s">
        <v>57</v>
      </c>
    </row>
    <row r="2" spans="1:2" x14ac:dyDescent="0.25">
      <c r="A2" s="4" t="s">
        <v>60</v>
      </c>
      <c r="B2">
        <v>533</v>
      </c>
    </row>
    <row r="3" spans="1:2" x14ac:dyDescent="0.25">
      <c r="A3" s="4" t="s">
        <v>61</v>
      </c>
      <c r="B3" s="4" t="s">
        <v>91</v>
      </c>
    </row>
    <row r="4" spans="1:2" x14ac:dyDescent="0.25">
      <c r="A4" s="4" t="s">
        <v>62</v>
      </c>
      <c r="B4" s="4">
        <v>43115129</v>
      </c>
    </row>
    <row r="5" spans="1:2" x14ac:dyDescent="0.25">
      <c r="A5" s="4" t="s">
        <v>63</v>
      </c>
      <c r="B5" s="4" t="s">
        <v>64</v>
      </c>
    </row>
    <row r="6" spans="1:2" x14ac:dyDescent="0.25">
      <c r="A6" s="4" t="s">
        <v>39</v>
      </c>
      <c r="B6" s="4">
        <v>3004699405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AEB-3D7C-4C5B-8BE9-F5E44DF07181}">
  <sheetPr codeName="Hoja8">
    <pageSetUpPr fitToPage="1"/>
  </sheetPr>
  <dimension ref="A1:F59"/>
  <sheetViews>
    <sheetView workbookViewId="0">
      <selection activeCell="E15" sqref="E15"/>
    </sheetView>
  </sheetViews>
  <sheetFormatPr baseColWidth="10" defaultRowHeight="15" x14ac:dyDescent="0.25"/>
  <cols>
    <col min="1" max="1" width="13.42578125" bestFit="1" customWidth="1"/>
    <col min="2" max="2" width="17.85546875" bestFit="1" customWidth="1"/>
    <col min="3" max="3" width="10.28515625" bestFit="1" customWidth="1"/>
    <col min="4" max="4" width="18" bestFit="1" customWidth="1"/>
    <col min="5" max="5" width="11.140625" bestFit="1" customWidth="1"/>
    <col min="6" max="6" width="10.140625" bestFit="1" customWidth="1"/>
  </cols>
  <sheetData>
    <row r="1" spans="1:6" ht="28.15" customHeight="1" x14ac:dyDescent="0.3">
      <c r="A1" s="68" t="s">
        <v>793</v>
      </c>
      <c r="B1" s="68"/>
      <c r="C1" s="68"/>
      <c r="D1" s="68"/>
      <c r="E1" s="68"/>
      <c r="F1" s="68"/>
    </row>
    <row r="2" spans="1:6" ht="13.9" customHeight="1" x14ac:dyDescent="0.25"/>
    <row r="3" spans="1:6" x14ac:dyDescent="0.25">
      <c r="A3" t="s">
        <v>95</v>
      </c>
      <c r="B3" t="s">
        <v>794</v>
      </c>
    </row>
    <row r="4" spans="1:6" x14ac:dyDescent="0.25">
      <c r="A4" t="s">
        <v>96</v>
      </c>
      <c r="B4" s="8">
        <v>46235</v>
      </c>
    </row>
    <row r="5" spans="1:6" x14ac:dyDescent="0.25">
      <c r="A5" t="s">
        <v>97</v>
      </c>
      <c r="B5" s="8">
        <v>46297</v>
      </c>
    </row>
    <row r="6" spans="1:6" ht="22.15" customHeight="1" x14ac:dyDescent="0.25">
      <c r="A6" t="s">
        <v>98</v>
      </c>
      <c r="B6" s="64">
        <v>46297.050821759258</v>
      </c>
    </row>
    <row r="8" spans="1:6" ht="30" customHeight="1" x14ac:dyDescent="0.25">
      <c r="A8" s="65" t="s">
        <v>50</v>
      </c>
      <c r="B8" s="65" t="s">
        <v>70</v>
      </c>
      <c r="C8" s="65" t="s">
        <v>51</v>
      </c>
      <c r="D8" s="65" t="s">
        <v>54</v>
      </c>
      <c r="E8" s="65" t="s">
        <v>795</v>
      </c>
      <c r="F8" s="65" t="s">
        <v>94</v>
      </c>
    </row>
    <row r="9" spans="1:6" x14ac:dyDescent="0.25">
      <c r="A9">
        <v>16</v>
      </c>
      <c r="B9" t="s">
        <v>174</v>
      </c>
      <c r="C9" s="8">
        <v>46238</v>
      </c>
      <c r="D9" s="52">
        <v>6000</v>
      </c>
      <c r="E9" s="52">
        <v>0</v>
      </c>
      <c r="F9" s="52">
        <v>6000</v>
      </c>
    </row>
    <row r="10" spans="1:6" x14ac:dyDescent="0.25">
      <c r="A10">
        <v>45</v>
      </c>
      <c r="B10" t="s">
        <v>200</v>
      </c>
      <c r="C10" s="8">
        <v>46242</v>
      </c>
      <c r="D10" s="52">
        <v>21000</v>
      </c>
      <c r="E10" s="52">
        <v>0</v>
      </c>
      <c r="F10" s="52">
        <v>21000</v>
      </c>
    </row>
    <row r="11" spans="1:6" x14ac:dyDescent="0.25">
      <c r="A11">
        <v>55</v>
      </c>
      <c r="B11" t="s">
        <v>45</v>
      </c>
      <c r="C11" s="8">
        <v>46242</v>
      </c>
      <c r="D11" s="52">
        <v>9000</v>
      </c>
      <c r="E11" s="52">
        <v>0</v>
      </c>
      <c r="F11" s="52">
        <v>9000</v>
      </c>
    </row>
    <row r="12" spans="1:6" x14ac:dyDescent="0.25">
      <c r="A12">
        <v>63</v>
      </c>
      <c r="B12" t="s">
        <v>204</v>
      </c>
      <c r="C12" s="8">
        <v>46248</v>
      </c>
      <c r="D12" s="52">
        <v>6000</v>
      </c>
      <c r="E12" s="52">
        <v>0</v>
      </c>
      <c r="F12" s="52">
        <v>6000</v>
      </c>
    </row>
    <row r="13" spans="1:6" x14ac:dyDescent="0.25">
      <c r="A13">
        <v>65</v>
      </c>
      <c r="B13" t="s">
        <v>166</v>
      </c>
      <c r="C13" s="8">
        <v>46248</v>
      </c>
      <c r="D13" s="52">
        <v>6000</v>
      </c>
      <c r="E13" s="52">
        <v>0</v>
      </c>
      <c r="F13" s="52">
        <v>6000</v>
      </c>
    </row>
    <row r="14" spans="1:6" x14ac:dyDescent="0.25">
      <c r="A14">
        <v>76</v>
      </c>
      <c r="B14" t="s">
        <v>134</v>
      </c>
      <c r="C14" s="8">
        <v>46249</v>
      </c>
      <c r="D14" s="52">
        <v>33000</v>
      </c>
      <c r="E14" s="52">
        <v>0</v>
      </c>
      <c r="F14" s="52">
        <v>33000</v>
      </c>
    </row>
    <row r="15" spans="1:6" x14ac:dyDescent="0.25">
      <c r="A15">
        <v>77</v>
      </c>
      <c r="B15" t="s">
        <v>200</v>
      </c>
      <c r="C15" s="8">
        <v>46254</v>
      </c>
      <c r="D15" s="52">
        <v>29000</v>
      </c>
      <c r="E15" s="52">
        <v>0</v>
      </c>
      <c r="F15" s="52">
        <v>29000</v>
      </c>
    </row>
    <row r="16" spans="1:6" x14ac:dyDescent="0.25">
      <c r="A16">
        <v>80</v>
      </c>
      <c r="B16" t="s">
        <v>207</v>
      </c>
      <c r="C16" s="8">
        <v>46254</v>
      </c>
      <c r="D16" s="52">
        <v>12000</v>
      </c>
      <c r="E16" s="52">
        <v>0</v>
      </c>
      <c r="F16" s="52">
        <v>12000</v>
      </c>
    </row>
    <row r="17" spans="1:6" x14ac:dyDescent="0.25">
      <c r="A17">
        <v>81</v>
      </c>
      <c r="B17" t="s">
        <v>209</v>
      </c>
      <c r="C17" s="8">
        <v>46254</v>
      </c>
      <c r="D17" s="52">
        <v>6000</v>
      </c>
      <c r="E17" s="52">
        <v>0</v>
      </c>
      <c r="F17" s="52">
        <v>6000</v>
      </c>
    </row>
    <row r="18" spans="1:6" x14ac:dyDescent="0.25">
      <c r="A18">
        <v>83</v>
      </c>
      <c r="B18" t="s">
        <v>210</v>
      </c>
      <c r="C18" s="8">
        <v>46254</v>
      </c>
      <c r="D18" s="52">
        <v>27000</v>
      </c>
      <c r="E18" s="52">
        <v>0</v>
      </c>
      <c r="F18" s="52">
        <v>27000</v>
      </c>
    </row>
    <row r="19" spans="1:6" x14ac:dyDescent="0.25">
      <c r="A19">
        <v>84</v>
      </c>
      <c r="B19" t="s">
        <v>166</v>
      </c>
      <c r="C19" s="8">
        <v>46254</v>
      </c>
      <c r="D19" s="52">
        <v>10000</v>
      </c>
      <c r="E19" s="52">
        <v>0</v>
      </c>
      <c r="F19" s="52">
        <v>10000</v>
      </c>
    </row>
    <row r="20" spans="1:6" x14ac:dyDescent="0.25">
      <c r="A20">
        <v>85</v>
      </c>
      <c r="B20" t="s">
        <v>211</v>
      </c>
      <c r="C20" s="8">
        <v>46254</v>
      </c>
      <c r="D20" s="52">
        <v>4000</v>
      </c>
      <c r="E20" s="52">
        <v>0</v>
      </c>
      <c r="F20" s="52">
        <v>4000</v>
      </c>
    </row>
    <row r="21" spans="1:6" x14ac:dyDescent="0.25">
      <c r="A21">
        <v>88</v>
      </c>
      <c r="B21" t="s">
        <v>103</v>
      </c>
      <c r="C21" s="8">
        <v>46254</v>
      </c>
      <c r="D21" s="52">
        <v>24000</v>
      </c>
      <c r="E21" s="52">
        <v>0</v>
      </c>
      <c r="F21" s="52">
        <v>24000</v>
      </c>
    </row>
    <row r="22" spans="1:6" x14ac:dyDescent="0.25">
      <c r="A22">
        <v>89</v>
      </c>
      <c r="B22" t="s">
        <v>134</v>
      </c>
      <c r="C22" s="8">
        <v>46254</v>
      </c>
      <c r="D22" s="52">
        <v>24000</v>
      </c>
      <c r="E22" s="52">
        <v>0</v>
      </c>
      <c r="F22" s="52">
        <v>24000</v>
      </c>
    </row>
    <row r="23" spans="1:6" x14ac:dyDescent="0.25">
      <c r="A23">
        <v>102</v>
      </c>
      <c r="B23" t="s">
        <v>218</v>
      </c>
      <c r="C23" s="8">
        <v>46255</v>
      </c>
      <c r="D23" s="52">
        <v>23000</v>
      </c>
      <c r="E23" s="52">
        <v>0</v>
      </c>
      <c r="F23" s="52">
        <v>23000</v>
      </c>
    </row>
    <row r="24" spans="1:6" x14ac:dyDescent="0.25">
      <c r="A24">
        <v>107</v>
      </c>
      <c r="B24" t="s">
        <v>220</v>
      </c>
      <c r="C24" s="8">
        <v>46256</v>
      </c>
      <c r="D24" s="52">
        <v>33000</v>
      </c>
      <c r="E24" s="52">
        <v>0</v>
      </c>
      <c r="F24" s="52">
        <v>33000</v>
      </c>
    </row>
    <row r="25" spans="1:6" x14ac:dyDescent="0.25">
      <c r="A25">
        <v>135</v>
      </c>
      <c r="B25" t="s">
        <v>166</v>
      </c>
      <c r="C25" s="8">
        <v>46261</v>
      </c>
      <c r="D25" s="52">
        <v>12000</v>
      </c>
      <c r="E25" s="52">
        <v>0</v>
      </c>
      <c r="F25" s="52">
        <v>12000</v>
      </c>
    </row>
    <row r="26" spans="1:6" x14ac:dyDescent="0.25">
      <c r="A26">
        <v>148</v>
      </c>
      <c r="B26" t="s">
        <v>234</v>
      </c>
      <c r="C26" s="8">
        <v>46262</v>
      </c>
      <c r="D26" s="52">
        <v>7000</v>
      </c>
      <c r="E26" s="52">
        <v>0</v>
      </c>
      <c r="F26" s="52">
        <v>7000</v>
      </c>
    </row>
    <row r="27" spans="1:6" x14ac:dyDescent="0.25">
      <c r="A27">
        <v>166</v>
      </c>
      <c r="B27" t="s">
        <v>231</v>
      </c>
      <c r="C27" s="8">
        <v>46263</v>
      </c>
      <c r="D27" s="52">
        <v>12000</v>
      </c>
      <c r="E27" s="52">
        <v>0</v>
      </c>
      <c r="F27" s="52">
        <v>12000</v>
      </c>
    </row>
    <row r="28" spans="1:6" x14ac:dyDescent="0.25">
      <c r="A28">
        <v>173</v>
      </c>
      <c r="B28" t="s">
        <v>199</v>
      </c>
      <c r="C28" s="8">
        <v>46267</v>
      </c>
      <c r="D28" s="52">
        <v>14000</v>
      </c>
      <c r="E28" s="52">
        <v>0</v>
      </c>
      <c r="F28" s="52">
        <v>14000</v>
      </c>
    </row>
    <row r="29" spans="1:6" x14ac:dyDescent="0.25">
      <c r="A29">
        <v>180</v>
      </c>
      <c r="B29" t="s">
        <v>166</v>
      </c>
      <c r="C29" s="8">
        <v>46268</v>
      </c>
      <c r="D29" s="52">
        <v>9000</v>
      </c>
      <c r="E29" s="52">
        <v>0</v>
      </c>
      <c r="F29" s="52">
        <v>9000</v>
      </c>
    </row>
    <row r="30" spans="1:6" x14ac:dyDescent="0.25">
      <c r="A30">
        <v>183</v>
      </c>
      <c r="B30" t="s">
        <v>247</v>
      </c>
      <c r="C30" s="8">
        <v>46269</v>
      </c>
      <c r="D30" s="52">
        <v>54000</v>
      </c>
      <c r="E30" s="52">
        <v>0</v>
      </c>
      <c r="F30" s="52">
        <v>54000</v>
      </c>
    </row>
    <row r="31" spans="1:6" x14ac:dyDescent="0.25">
      <c r="A31">
        <v>185</v>
      </c>
      <c r="B31" t="s">
        <v>213</v>
      </c>
      <c r="C31" s="8">
        <v>46269</v>
      </c>
      <c r="D31" s="52">
        <v>16000</v>
      </c>
      <c r="E31" s="52">
        <v>0</v>
      </c>
      <c r="F31" s="52">
        <v>16000</v>
      </c>
    </row>
    <row r="32" spans="1:6" x14ac:dyDescent="0.25">
      <c r="A32">
        <v>194</v>
      </c>
      <c r="B32" t="s">
        <v>253</v>
      </c>
      <c r="C32" s="8">
        <v>46269</v>
      </c>
      <c r="D32" s="52">
        <v>12000</v>
      </c>
      <c r="E32" s="52">
        <v>0</v>
      </c>
      <c r="F32" s="52">
        <v>12000</v>
      </c>
    </row>
    <row r="33" spans="1:6" x14ac:dyDescent="0.25">
      <c r="A33">
        <v>201</v>
      </c>
      <c r="B33" t="s">
        <v>174</v>
      </c>
      <c r="C33" s="8">
        <v>46269</v>
      </c>
      <c r="D33" s="52">
        <v>6000</v>
      </c>
      <c r="E33" s="52">
        <v>0</v>
      </c>
      <c r="F33" s="52">
        <v>6000</v>
      </c>
    </row>
    <row r="34" spans="1:6" x14ac:dyDescent="0.25">
      <c r="A34">
        <v>206</v>
      </c>
      <c r="B34" t="s">
        <v>134</v>
      </c>
      <c r="C34" s="8">
        <v>46269</v>
      </c>
      <c r="D34" s="52">
        <v>38000</v>
      </c>
      <c r="E34" s="52">
        <v>0</v>
      </c>
      <c r="F34" s="52">
        <v>38000</v>
      </c>
    </row>
    <row r="35" spans="1:6" x14ac:dyDescent="0.25">
      <c r="A35">
        <v>209</v>
      </c>
      <c r="B35" t="s">
        <v>238</v>
      </c>
      <c r="C35" s="8">
        <v>46270</v>
      </c>
      <c r="D35" s="52">
        <v>13200</v>
      </c>
      <c r="E35" s="52">
        <v>0</v>
      </c>
      <c r="F35" s="52">
        <v>13200</v>
      </c>
    </row>
    <row r="36" spans="1:6" x14ac:dyDescent="0.25">
      <c r="A36">
        <v>219</v>
      </c>
      <c r="B36" t="s">
        <v>252</v>
      </c>
      <c r="C36" s="8">
        <v>46270</v>
      </c>
      <c r="D36" s="52">
        <v>17000</v>
      </c>
      <c r="E36" s="52">
        <v>0</v>
      </c>
      <c r="F36" s="52">
        <v>17000</v>
      </c>
    </row>
    <row r="37" spans="1:6" x14ac:dyDescent="0.25">
      <c r="A37">
        <v>224</v>
      </c>
      <c r="B37" t="s">
        <v>209</v>
      </c>
      <c r="C37" s="8">
        <v>46274</v>
      </c>
      <c r="D37" s="52">
        <v>7000</v>
      </c>
      <c r="E37" s="52">
        <v>0</v>
      </c>
      <c r="F37" s="52">
        <v>7000</v>
      </c>
    </row>
    <row r="38" spans="1:6" x14ac:dyDescent="0.25">
      <c r="A38">
        <v>274</v>
      </c>
      <c r="B38" t="s">
        <v>200</v>
      </c>
      <c r="C38" s="8">
        <v>46280</v>
      </c>
      <c r="D38" s="52">
        <v>13000</v>
      </c>
      <c r="E38" s="52">
        <v>0</v>
      </c>
      <c r="F38" s="52">
        <v>13000</v>
      </c>
    </row>
    <row r="39" spans="1:6" x14ac:dyDescent="0.25">
      <c r="A39">
        <v>275</v>
      </c>
      <c r="B39" t="s">
        <v>200</v>
      </c>
      <c r="C39" s="8">
        <v>46281</v>
      </c>
      <c r="D39" s="52">
        <v>21200</v>
      </c>
      <c r="E39" s="52">
        <v>0</v>
      </c>
      <c r="F39" s="52">
        <v>21200</v>
      </c>
    </row>
    <row r="40" spans="1:6" x14ac:dyDescent="0.25">
      <c r="A40">
        <v>277</v>
      </c>
      <c r="B40" t="s">
        <v>209</v>
      </c>
      <c r="C40" s="8">
        <v>46281</v>
      </c>
      <c r="D40" s="52">
        <v>18000</v>
      </c>
      <c r="E40" s="52">
        <v>15000</v>
      </c>
      <c r="F40" s="52">
        <v>3000</v>
      </c>
    </row>
    <row r="41" spans="1:6" x14ac:dyDescent="0.25">
      <c r="A41">
        <v>297</v>
      </c>
      <c r="B41" t="s">
        <v>200</v>
      </c>
      <c r="C41" s="8">
        <v>46282</v>
      </c>
      <c r="D41" s="52">
        <v>14000</v>
      </c>
      <c r="E41" s="52">
        <v>0</v>
      </c>
      <c r="F41" s="52">
        <v>14000</v>
      </c>
    </row>
    <row r="42" spans="1:6" x14ac:dyDescent="0.25">
      <c r="A42">
        <v>302</v>
      </c>
      <c r="B42" t="s">
        <v>478</v>
      </c>
      <c r="C42" s="8">
        <v>46282</v>
      </c>
      <c r="D42" s="52">
        <v>14000</v>
      </c>
      <c r="E42" s="52">
        <v>0</v>
      </c>
      <c r="F42" s="52">
        <v>14000</v>
      </c>
    </row>
    <row r="43" spans="1:6" x14ac:dyDescent="0.25">
      <c r="A43">
        <v>337</v>
      </c>
      <c r="B43" t="s">
        <v>200</v>
      </c>
      <c r="C43" s="8">
        <v>46283</v>
      </c>
      <c r="D43" s="52">
        <v>14200</v>
      </c>
      <c r="E43" s="52">
        <v>0</v>
      </c>
      <c r="F43" s="52">
        <v>14200</v>
      </c>
    </row>
    <row r="44" spans="1:6" x14ac:dyDescent="0.25">
      <c r="A44">
        <v>354</v>
      </c>
      <c r="B44" t="s">
        <v>200</v>
      </c>
      <c r="C44" s="8">
        <v>46285</v>
      </c>
      <c r="D44" s="52">
        <v>24000</v>
      </c>
      <c r="E44" s="52">
        <v>0</v>
      </c>
      <c r="F44" s="52">
        <v>24000</v>
      </c>
    </row>
    <row r="45" spans="1:6" x14ac:dyDescent="0.25">
      <c r="A45">
        <v>358</v>
      </c>
      <c r="B45" t="s">
        <v>200</v>
      </c>
      <c r="C45" s="8">
        <v>46288</v>
      </c>
      <c r="D45" s="52">
        <v>28000</v>
      </c>
      <c r="E45" s="52">
        <v>0</v>
      </c>
      <c r="F45" s="52">
        <v>28000</v>
      </c>
    </row>
    <row r="46" spans="1:6" x14ac:dyDescent="0.25">
      <c r="A46">
        <v>361</v>
      </c>
      <c r="B46" t="s">
        <v>42</v>
      </c>
      <c r="C46" s="8">
        <v>46288</v>
      </c>
      <c r="D46" s="52">
        <v>30000</v>
      </c>
      <c r="E46" s="52">
        <v>30</v>
      </c>
      <c r="F46" s="52">
        <v>29970</v>
      </c>
    </row>
    <row r="47" spans="1:6" x14ac:dyDescent="0.25">
      <c r="A47">
        <v>369</v>
      </c>
      <c r="B47" t="s">
        <v>200</v>
      </c>
      <c r="C47" s="8">
        <v>46288</v>
      </c>
      <c r="D47" s="52">
        <v>3000</v>
      </c>
      <c r="E47" s="52">
        <v>0</v>
      </c>
      <c r="F47" s="52">
        <v>3000</v>
      </c>
    </row>
    <row r="48" spans="1:6" x14ac:dyDescent="0.25">
      <c r="A48">
        <v>375</v>
      </c>
      <c r="B48" t="s">
        <v>210</v>
      </c>
      <c r="C48" s="8">
        <v>46289</v>
      </c>
      <c r="D48" s="52">
        <v>4000</v>
      </c>
      <c r="E48" s="52">
        <v>4</v>
      </c>
      <c r="F48" s="52">
        <v>3996</v>
      </c>
    </row>
    <row r="49" spans="1:6" x14ac:dyDescent="0.25">
      <c r="A49">
        <v>378</v>
      </c>
      <c r="B49" t="s">
        <v>200</v>
      </c>
      <c r="C49" s="8">
        <v>46289</v>
      </c>
      <c r="D49" s="52">
        <v>14000</v>
      </c>
      <c r="E49" s="52">
        <v>0</v>
      </c>
      <c r="F49" s="52">
        <v>14000</v>
      </c>
    </row>
    <row r="50" spans="1:6" x14ac:dyDescent="0.25">
      <c r="A50">
        <v>380</v>
      </c>
      <c r="B50" t="s">
        <v>197</v>
      </c>
      <c r="C50" s="8">
        <v>46289</v>
      </c>
      <c r="D50" s="52">
        <v>22000</v>
      </c>
      <c r="E50" s="52">
        <v>0</v>
      </c>
      <c r="F50" s="52">
        <v>22000</v>
      </c>
    </row>
    <row r="51" spans="1:6" x14ac:dyDescent="0.25">
      <c r="A51">
        <v>405</v>
      </c>
      <c r="B51" t="s">
        <v>209</v>
      </c>
      <c r="C51" s="8">
        <v>46290</v>
      </c>
      <c r="D51" s="52">
        <v>6000</v>
      </c>
      <c r="E51" s="52">
        <v>0</v>
      </c>
      <c r="F51" s="52">
        <v>6000</v>
      </c>
    </row>
    <row r="52" spans="1:6" x14ac:dyDescent="0.25">
      <c r="A52">
        <v>406</v>
      </c>
      <c r="B52" t="s">
        <v>200</v>
      </c>
      <c r="C52" s="8">
        <v>46290</v>
      </c>
      <c r="D52" s="52">
        <v>20000</v>
      </c>
      <c r="E52" s="52">
        <v>0</v>
      </c>
      <c r="F52" s="52">
        <v>20000</v>
      </c>
    </row>
    <row r="53" spans="1:6" x14ac:dyDescent="0.25">
      <c r="A53">
        <v>408</v>
      </c>
      <c r="B53" t="s">
        <v>200</v>
      </c>
      <c r="C53" s="8">
        <v>46291</v>
      </c>
      <c r="D53" s="52">
        <v>13000</v>
      </c>
      <c r="E53" s="52">
        <v>0</v>
      </c>
      <c r="F53" s="52">
        <v>13000</v>
      </c>
    </row>
    <row r="54" spans="1:6" x14ac:dyDescent="0.25">
      <c r="A54">
        <v>417</v>
      </c>
      <c r="B54" t="s">
        <v>209</v>
      </c>
      <c r="C54" s="8">
        <v>46291</v>
      </c>
      <c r="D54" s="52">
        <v>15400</v>
      </c>
      <c r="E54" s="52">
        <v>0</v>
      </c>
      <c r="F54" s="52">
        <v>15400</v>
      </c>
    </row>
    <row r="55" spans="1:6" x14ac:dyDescent="0.25">
      <c r="A55">
        <v>431</v>
      </c>
      <c r="B55" t="s">
        <v>211</v>
      </c>
      <c r="C55" s="8">
        <v>46291</v>
      </c>
      <c r="D55" s="52">
        <v>3000</v>
      </c>
      <c r="E55" s="52">
        <v>0</v>
      </c>
      <c r="F55" s="52">
        <v>3000</v>
      </c>
    </row>
    <row r="56" spans="1:6" x14ac:dyDescent="0.25">
      <c r="A56">
        <v>445</v>
      </c>
      <c r="B56" t="s">
        <v>209</v>
      </c>
      <c r="C56" s="8">
        <v>46295</v>
      </c>
      <c r="D56" s="52">
        <v>9000</v>
      </c>
      <c r="E56" s="52">
        <v>0</v>
      </c>
      <c r="F56" s="52">
        <v>9000</v>
      </c>
    </row>
    <row r="57" spans="1:6" x14ac:dyDescent="0.25">
      <c r="A57">
        <v>447</v>
      </c>
      <c r="B57" t="s">
        <v>42</v>
      </c>
      <c r="C57" s="8">
        <v>46295</v>
      </c>
      <c r="D57" s="52">
        <v>9000</v>
      </c>
      <c r="E57" s="52">
        <v>0</v>
      </c>
      <c r="F57" s="52">
        <v>9000</v>
      </c>
    </row>
    <row r="59" spans="1:6" x14ac:dyDescent="0.25">
      <c r="D59" t="s">
        <v>796</v>
      </c>
      <c r="E59" s="52">
        <v>769966</v>
      </c>
    </row>
  </sheetData>
  <mergeCells count="1">
    <mergeCell ref="A1:F1"/>
  </mergeCells>
  <printOptions horizontalCentered="1"/>
  <pageMargins left="0.27559055118110232" right="0.27559055118110232" top="0.31496062992125989" bottom="0.31496062992125989" header="0.11811023622047243" footer="0.11811023622047243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6E5E-F41B-4482-BAA2-B70510991A65}">
  <sheetPr codeName="Hoja12">
    <pageSetUpPr fitToPage="1"/>
  </sheetPr>
  <dimension ref="A1:B31"/>
  <sheetViews>
    <sheetView workbookViewId="0">
      <selection activeCell="F25" sqref="F25"/>
    </sheetView>
  </sheetViews>
  <sheetFormatPr baseColWidth="10" defaultRowHeight="15" x14ac:dyDescent="0.25"/>
  <cols>
    <col min="1" max="2" width="11.5703125" style="61" customWidth="1"/>
  </cols>
  <sheetData>
    <row r="1" spans="1:2" x14ac:dyDescent="0.25">
      <c r="A1" s="61" t="s">
        <v>908</v>
      </c>
      <c r="B1" s="61" t="s">
        <v>87</v>
      </c>
    </row>
    <row r="2" spans="1:2" x14ac:dyDescent="0.25">
      <c r="A2" s="67">
        <v>45962</v>
      </c>
      <c r="B2" s="63">
        <v>0</v>
      </c>
    </row>
    <row r="3" spans="1:2" x14ac:dyDescent="0.25">
      <c r="A3" s="67">
        <v>45992</v>
      </c>
      <c r="B3" s="63">
        <v>0</v>
      </c>
    </row>
    <row r="4" spans="1:2" x14ac:dyDescent="0.25">
      <c r="A4" s="67">
        <v>46023</v>
      </c>
      <c r="B4" s="63">
        <v>0</v>
      </c>
    </row>
    <row r="5" spans="1:2" x14ac:dyDescent="0.25">
      <c r="A5" s="67">
        <v>46054</v>
      </c>
      <c r="B5" s="63">
        <v>0</v>
      </c>
    </row>
    <row r="6" spans="1:2" x14ac:dyDescent="0.25">
      <c r="A6" s="67">
        <v>46082</v>
      </c>
      <c r="B6" s="63">
        <v>0</v>
      </c>
    </row>
    <row r="7" spans="1:2" x14ac:dyDescent="0.25">
      <c r="A7" s="67">
        <v>46113</v>
      </c>
      <c r="B7" s="63">
        <v>0</v>
      </c>
    </row>
    <row r="8" spans="1:2" x14ac:dyDescent="0.25">
      <c r="A8" s="67">
        <v>46143</v>
      </c>
      <c r="B8" s="63">
        <v>0</v>
      </c>
    </row>
    <row r="9" spans="1:2" x14ac:dyDescent="0.25">
      <c r="A9" s="67">
        <v>46174</v>
      </c>
      <c r="B9" s="63">
        <v>0</v>
      </c>
    </row>
    <row r="10" spans="1:2" x14ac:dyDescent="0.25">
      <c r="A10" s="67">
        <v>46204</v>
      </c>
      <c r="B10" s="63">
        <v>0</v>
      </c>
    </row>
    <row r="11" spans="1:2" x14ac:dyDescent="0.25">
      <c r="A11" s="67">
        <v>46235</v>
      </c>
      <c r="B11" s="63">
        <v>4109200</v>
      </c>
    </row>
    <row r="12" spans="1:2" x14ac:dyDescent="0.25">
      <c r="A12" s="67">
        <v>46266</v>
      </c>
      <c r="B12" s="63">
        <v>5601801</v>
      </c>
    </row>
    <row r="13" spans="1:2" x14ac:dyDescent="0.25">
      <c r="A13" s="67">
        <v>46296</v>
      </c>
      <c r="B13" s="63">
        <v>1550400</v>
      </c>
    </row>
    <row r="14" spans="1:2" x14ac:dyDescent="0.25">
      <c r="A14" s="62"/>
      <c r="B14" s="63"/>
    </row>
    <row r="15" spans="1:2" x14ac:dyDescent="0.25">
      <c r="A15" s="62"/>
      <c r="B15" s="63"/>
    </row>
    <row r="16" spans="1:2" x14ac:dyDescent="0.25">
      <c r="A16" s="62"/>
      <c r="B16" s="63"/>
    </row>
    <row r="17" spans="1:2" x14ac:dyDescent="0.25">
      <c r="A17" s="62"/>
      <c r="B17" s="63"/>
    </row>
    <row r="18" spans="1:2" x14ac:dyDescent="0.25">
      <c r="A18" s="62"/>
      <c r="B18" s="63"/>
    </row>
    <row r="19" spans="1:2" x14ac:dyDescent="0.25">
      <c r="A19" s="62"/>
      <c r="B19" s="63"/>
    </row>
    <row r="20" spans="1:2" x14ac:dyDescent="0.25">
      <c r="A20" s="62"/>
      <c r="B20" s="63"/>
    </row>
    <row r="21" spans="1:2" x14ac:dyDescent="0.25">
      <c r="A21" s="62"/>
      <c r="B21" s="63"/>
    </row>
    <row r="22" spans="1:2" x14ac:dyDescent="0.25">
      <c r="A22" s="62"/>
      <c r="B22" s="63"/>
    </row>
    <row r="23" spans="1:2" x14ac:dyDescent="0.25">
      <c r="A23" s="62"/>
      <c r="B23" s="63"/>
    </row>
    <row r="24" spans="1:2" x14ac:dyDescent="0.25">
      <c r="A24" s="62"/>
      <c r="B24" s="63"/>
    </row>
    <row r="25" spans="1:2" x14ac:dyDescent="0.25">
      <c r="A25" s="62"/>
      <c r="B25" s="63"/>
    </row>
    <row r="26" spans="1:2" x14ac:dyDescent="0.25">
      <c r="A26" s="62"/>
      <c r="B26" s="63"/>
    </row>
    <row r="27" spans="1:2" x14ac:dyDescent="0.25">
      <c r="A27" s="62"/>
      <c r="B27" s="63"/>
    </row>
    <row r="28" spans="1:2" x14ac:dyDescent="0.25">
      <c r="A28" s="62"/>
      <c r="B28" s="63"/>
    </row>
    <row r="29" spans="1:2" x14ac:dyDescent="0.25">
      <c r="A29" s="62"/>
      <c r="B29" s="63"/>
    </row>
    <row r="30" spans="1:2" x14ac:dyDescent="0.25">
      <c r="A30" s="62"/>
      <c r="B30" s="63"/>
    </row>
    <row r="31" spans="1:2" x14ac:dyDescent="0.25">
      <c r="A31" s="62"/>
      <c r="B31" s="63"/>
    </row>
  </sheetData>
  <printOptions horizontalCentered="1" verticalCentered="1"/>
  <pageMargins left="0.25" right="0.25" top="0.25" bottom="0.25" header="0.2" footer="0.2"/>
  <pageSetup scale="9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3A0F-E3A0-452E-8FC9-EE0AAF52E81D}">
  <sheetPr codeName="Hoja9"/>
  <dimension ref="A1:F45"/>
  <sheetViews>
    <sheetView zoomScaleNormal="100" workbookViewId="0">
      <selection activeCell="D9" sqref="D9"/>
    </sheetView>
  </sheetViews>
  <sheetFormatPr baseColWidth="10" defaultRowHeight="15" x14ac:dyDescent="0.25"/>
  <cols>
    <col min="1" max="1" width="9.28515625" customWidth="1"/>
    <col min="2" max="2" width="10.28515625" bestFit="1" customWidth="1"/>
    <col min="3" max="3" width="22.28515625" customWidth="1"/>
    <col min="4" max="4" width="12.7109375" bestFit="1" customWidth="1"/>
  </cols>
  <sheetData>
    <row r="1" spans="1:6" x14ac:dyDescent="0.25">
      <c r="A1" s="18" t="s">
        <v>72</v>
      </c>
      <c r="B1" s="19"/>
      <c r="C1" s="20"/>
    </row>
    <row r="2" spans="1:6" x14ac:dyDescent="0.25">
      <c r="A2" s="21" t="s">
        <v>62</v>
      </c>
      <c r="B2" t="s">
        <v>85</v>
      </c>
      <c r="C2" s="22"/>
      <c r="E2" t="s">
        <v>69</v>
      </c>
      <c r="F2">
        <v>1</v>
      </c>
    </row>
    <row r="3" spans="1:6" ht="15.75" thickBot="1" x14ac:dyDescent="0.3">
      <c r="A3" s="23" t="s">
        <v>86</v>
      </c>
      <c r="B3" s="24"/>
      <c r="C3" s="25"/>
    </row>
    <row r="4" spans="1:6" x14ac:dyDescent="0.25">
      <c r="A4" t="s">
        <v>51</v>
      </c>
      <c r="B4" s="8">
        <v>46235</v>
      </c>
      <c r="E4" t="s">
        <v>52</v>
      </c>
      <c r="F4" s="9">
        <v>0.83819444444444446</v>
      </c>
    </row>
    <row r="5" spans="1:6" x14ac:dyDescent="0.25">
      <c r="B5" s="8"/>
    </row>
    <row r="6" spans="1:6" x14ac:dyDescent="0.25">
      <c r="A6" t="s">
        <v>70</v>
      </c>
      <c r="B6" s="16" t="s">
        <v>148</v>
      </c>
    </row>
    <row r="8" spans="1:6" x14ac:dyDescent="0.25">
      <c r="A8" s="10" t="s">
        <v>77</v>
      </c>
    </row>
    <row r="9" spans="1:6" x14ac:dyDescent="0.25">
      <c r="B9" s="14" t="s">
        <v>73</v>
      </c>
      <c r="C9" s="14" t="s">
        <v>1</v>
      </c>
      <c r="D9" s="14" t="s">
        <v>76</v>
      </c>
      <c r="E9" s="14" t="s">
        <v>68</v>
      </c>
    </row>
    <row r="10" spans="1:6" x14ac:dyDescent="0.25">
      <c r="A10" s="10" t="s">
        <v>77</v>
      </c>
    </row>
    <row r="11" spans="1:6" x14ac:dyDescent="0.25">
      <c r="B11" s="13">
        <v>1</v>
      </c>
      <c r="C11" s="13" t="s">
        <v>107</v>
      </c>
      <c r="D11" s="15">
        <v>6000</v>
      </c>
      <c r="E11" s="15">
        <v>6000</v>
      </c>
    </row>
    <row r="12" spans="1:6" x14ac:dyDescent="0.25">
      <c r="B12" s="13">
        <v>1</v>
      </c>
      <c r="C12" s="13" t="s">
        <v>107</v>
      </c>
      <c r="D12" s="15">
        <v>6000</v>
      </c>
      <c r="E12" s="15">
        <v>6000</v>
      </c>
    </row>
    <row r="13" spans="1:6" x14ac:dyDescent="0.25">
      <c r="B13" s="13">
        <v>1</v>
      </c>
      <c r="C13" s="13" t="s">
        <v>107</v>
      </c>
      <c r="D13" s="15">
        <v>6000</v>
      </c>
      <c r="E13" s="15">
        <v>6000</v>
      </c>
    </row>
    <row r="14" spans="1:6" x14ac:dyDescent="0.25">
      <c r="B14" s="13">
        <v>1</v>
      </c>
      <c r="C14" s="13" t="s">
        <v>107</v>
      </c>
      <c r="D14" s="15">
        <v>6000</v>
      </c>
      <c r="E14" s="15">
        <v>6000</v>
      </c>
    </row>
    <row r="15" spans="1:6" x14ac:dyDescent="0.25">
      <c r="B15" s="13">
        <v>1</v>
      </c>
      <c r="C15" s="13" t="s">
        <v>15</v>
      </c>
      <c r="D15" s="15">
        <v>10000</v>
      </c>
      <c r="E15" s="15">
        <v>10000</v>
      </c>
    </row>
    <row r="16" spans="1:6" x14ac:dyDescent="0.25">
      <c r="B16" s="13">
        <v>1</v>
      </c>
      <c r="C16" s="13" t="s">
        <v>16</v>
      </c>
      <c r="D16" s="15">
        <v>10000</v>
      </c>
      <c r="E16" s="15">
        <v>10000</v>
      </c>
    </row>
    <row r="17" spans="2:5" x14ac:dyDescent="0.25">
      <c r="B17" s="13"/>
      <c r="C17" s="13"/>
      <c r="D17" s="15"/>
      <c r="E17" s="15"/>
    </row>
    <row r="18" spans="2:5" x14ac:dyDescent="0.25">
      <c r="B18" s="13"/>
      <c r="C18" s="13"/>
      <c r="D18" s="15"/>
      <c r="E18" s="15"/>
    </row>
    <row r="19" spans="2:5" x14ac:dyDescent="0.25">
      <c r="B19" s="13"/>
      <c r="C19" s="13"/>
      <c r="D19" s="15"/>
      <c r="E19" s="15"/>
    </row>
    <row r="20" spans="2:5" x14ac:dyDescent="0.25">
      <c r="B20" s="13"/>
      <c r="C20" s="13"/>
      <c r="D20" s="15"/>
      <c r="E20" s="15"/>
    </row>
    <row r="21" spans="2:5" x14ac:dyDescent="0.25">
      <c r="B21" s="13"/>
      <c r="C21" s="13"/>
      <c r="D21" s="15"/>
      <c r="E21" s="15"/>
    </row>
    <row r="22" spans="2:5" x14ac:dyDescent="0.25">
      <c r="B22" s="13"/>
      <c r="C22" s="13"/>
      <c r="D22" s="15"/>
      <c r="E22" s="15"/>
    </row>
    <row r="23" spans="2:5" x14ac:dyDescent="0.25">
      <c r="B23" s="13"/>
      <c r="C23" s="13"/>
      <c r="D23" s="15"/>
      <c r="E23" s="15"/>
    </row>
    <row r="24" spans="2:5" x14ac:dyDescent="0.25">
      <c r="B24" s="13"/>
      <c r="C24" s="13"/>
      <c r="D24" s="15"/>
      <c r="E24" s="15"/>
    </row>
    <row r="25" spans="2:5" x14ac:dyDescent="0.25">
      <c r="B25" s="13"/>
      <c r="C25" s="13"/>
      <c r="D25" s="15"/>
      <c r="E25" s="15"/>
    </row>
    <row r="26" spans="2:5" x14ac:dyDescent="0.25">
      <c r="B26" s="13"/>
      <c r="C26" s="13"/>
      <c r="D26" s="15"/>
      <c r="E26" s="15"/>
    </row>
    <row r="27" spans="2:5" x14ac:dyDescent="0.25">
      <c r="B27" s="13"/>
      <c r="C27" s="13"/>
      <c r="D27" s="15"/>
      <c r="E27" s="15"/>
    </row>
    <row r="28" spans="2:5" x14ac:dyDescent="0.25">
      <c r="B28" s="13"/>
      <c r="C28" s="13"/>
      <c r="D28" s="15"/>
      <c r="E28" s="15"/>
    </row>
    <row r="29" spans="2:5" x14ac:dyDescent="0.25">
      <c r="B29" s="13"/>
      <c r="C29" s="13"/>
      <c r="D29" s="15"/>
      <c r="E29" s="15"/>
    </row>
    <row r="30" spans="2:5" x14ac:dyDescent="0.25">
      <c r="B30" s="13"/>
      <c r="C30" s="13"/>
      <c r="D30" s="15"/>
      <c r="E30" s="15"/>
    </row>
    <row r="31" spans="2:5" x14ac:dyDescent="0.25">
      <c r="B31" s="13"/>
      <c r="C31" s="13"/>
      <c r="D31" s="15"/>
      <c r="E31" s="15"/>
    </row>
    <row r="32" spans="2:5" x14ac:dyDescent="0.25">
      <c r="B32" s="13"/>
      <c r="C32" s="13"/>
      <c r="D32" s="15"/>
      <c r="E32" s="15"/>
    </row>
    <row r="33" spans="1:6" x14ac:dyDescent="0.25">
      <c r="B33" s="13"/>
      <c r="C33" s="13"/>
      <c r="D33" s="15"/>
      <c r="E33" s="15"/>
    </row>
    <row r="34" spans="1:6" x14ac:dyDescent="0.25">
      <c r="B34" s="13"/>
      <c r="C34" s="13"/>
      <c r="D34" s="15"/>
      <c r="E34" s="15"/>
    </row>
    <row r="35" spans="1:6" x14ac:dyDescent="0.25">
      <c r="B35" s="13"/>
      <c r="C35" s="13"/>
      <c r="D35" s="15"/>
      <c r="E35" s="15"/>
    </row>
    <row r="36" spans="1:6" x14ac:dyDescent="0.25">
      <c r="B36" s="13"/>
      <c r="C36" s="13"/>
      <c r="D36" s="15"/>
      <c r="E36" s="15"/>
    </row>
    <row r="37" spans="1:6" x14ac:dyDescent="0.25">
      <c r="B37" s="13"/>
      <c r="C37" s="13"/>
      <c r="D37" s="15"/>
      <c r="E37" s="15"/>
    </row>
    <row r="38" spans="1:6" x14ac:dyDescent="0.25">
      <c r="A38" s="10" t="s">
        <v>93</v>
      </c>
      <c r="D38" s="11"/>
      <c r="E38" s="11"/>
    </row>
    <row r="39" spans="1:6" x14ac:dyDescent="0.25">
      <c r="D39" s="11"/>
      <c r="E39" s="11"/>
    </row>
    <row r="40" spans="1:6" x14ac:dyDescent="0.25">
      <c r="D40" s="11"/>
      <c r="E40" s="11"/>
    </row>
    <row r="41" spans="1:6" x14ac:dyDescent="0.25">
      <c r="E41" s="17" t="s">
        <v>74</v>
      </c>
      <c r="F41" s="27">
        <v>44000</v>
      </c>
    </row>
    <row r="43" spans="1:6" ht="30" x14ac:dyDescent="0.25">
      <c r="A43" s="12" t="s">
        <v>75</v>
      </c>
      <c r="B43" s="26" t="s">
        <v>58</v>
      </c>
    </row>
    <row r="45" spans="1:6" x14ac:dyDescent="0.25">
      <c r="A45" t="s">
        <v>71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A01F-6CE2-402E-BB98-541364D6EAC6}">
  <sheetPr codeName="Hoja2">
    <tabColor rgb="FFFFC000"/>
  </sheetPr>
  <dimension ref="A1:I51"/>
  <sheetViews>
    <sheetView topLeftCell="A16" workbookViewId="0">
      <selection activeCell="A38" sqref="A38"/>
    </sheetView>
  </sheetViews>
  <sheetFormatPr baseColWidth="10" defaultRowHeight="15" x14ac:dyDescent="0.25"/>
  <cols>
    <col min="2" max="2" width="28.28515625" customWidth="1"/>
    <col min="4" max="4" width="14.28515625" customWidth="1"/>
    <col min="7" max="7" width="14" customWidth="1"/>
    <col min="8" max="8" width="16.28515625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78</v>
      </c>
      <c r="E1" s="7" t="s">
        <v>66</v>
      </c>
      <c r="F1" s="7" t="s">
        <v>79</v>
      </c>
      <c r="G1" s="7" t="s">
        <v>80</v>
      </c>
      <c r="H1" s="7" t="s">
        <v>81</v>
      </c>
      <c r="I1" s="7" t="s">
        <v>4</v>
      </c>
    </row>
    <row r="2" spans="1:9" x14ac:dyDescent="0.25">
      <c r="A2" s="4" t="s">
        <v>21</v>
      </c>
      <c r="B2" s="4" t="s">
        <v>5</v>
      </c>
      <c r="C2" s="4" t="s">
        <v>6</v>
      </c>
      <c r="D2" s="35">
        <v>3000</v>
      </c>
      <c r="E2" s="3">
        <v>0</v>
      </c>
      <c r="F2" s="35"/>
      <c r="G2" s="3">
        <v>914</v>
      </c>
      <c r="H2" s="3"/>
      <c r="I2" s="1" t="s">
        <v>7</v>
      </c>
    </row>
    <row r="3" spans="1:9" x14ac:dyDescent="0.25">
      <c r="A3" s="4" t="s">
        <v>23</v>
      </c>
      <c r="B3" s="4" t="s">
        <v>13</v>
      </c>
      <c r="C3" s="4" t="s">
        <v>6</v>
      </c>
      <c r="D3" s="35">
        <v>9000</v>
      </c>
      <c r="E3" s="3">
        <v>0</v>
      </c>
      <c r="F3" s="35"/>
      <c r="G3" s="3">
        <v>96</v>
      </c>
      <c r="H3" s="3"/>
      <c r="I3" s="1" t="s">
        <v>7</v>
      </c>
    </row>
    <row r="4" spans="1:9" x14ac:dyDescent="0.25">
      <c r="A4" s="4" t="s">
        <v>25</v>
      </c>
      <c r="B4" s="4" t="s">
        <v>12</v>
      </c>
      <c r="C4" s="4" t="s">
        <v>6</v>
      </c>
      <c r="D4" s="35">
        <v>12000</v>
      </c>
      <c r="E4" s="3">
        <v>0</v>
      </c>
      <c r="F4" s="35"/>
      <c r="G4" s="3">
        <v>96</v>
      </c>
      <c r="H4" s="3"/>
      <c r="I4" s="1" t="s">
        <v>7</v>
      </c>
    </row>
    <row r="5" spans="1:9" x14ac:dyDescent="0.25">
      <c r="A5" s="4" t="s">
        <v>26</v>
      </c>
      <c r="B5" s="4" t="s">
        <v>14</v>
      </c>
      <c r="C5" s="4" t="s">
        <v>6</v>
      </c>
      <c r="D5" s="35">
        <v>7000</v>
      </c>
      <c r="E5" s="3">
        <v>0</v>
      </c>
      <c r="F5" s="35"/>
      <c r="G5" s="3">
        <v>100</v>
      </c>
      <c r="H5" s="3"/>
      <c r="I5" s="1" t="s">
        <v>7</v>
      </c>
    </row>
    <row r="6" spans="1:9" x14ac:dyDescent="0.25">
      <c r="A6" s="4" t="s">
        <v>130</v>
      </c>
      <c r="B6" s="4" t="s">
        <v>132</v>
      </c>
      <c r="C6" s="4" t="s">
        <v>6</v>
      </c>
      <c r="D6" s="35">
        <v>12000</v>
      </c>
      <c r="E6" s="3">
        <v>0</v>
      </c>
      <c r="F6" s="35"/>
      <c r="G6" s="3">
        <v>76</v>
      </c>
      <c r="H6" s="3"/>
      <c r="I6" s="1" t="s">
        <v>7</v>
      </c>
    </row>
    <row r="7" spans="1:9" x14ac:dyDescent="0.25">
      <c r="A7" s="4" t="s">
        <v>131</v>
      </c>
      <c r="B7" s="4" t="s">
        <v>133</v>
      </c>
      <c r="C7" s="4" t="s">
        <v>6</v>
      </c>
      <c r="D7" s="35">
        <v>14000</v>
      </c>
      <c r="E7" s="3">
        <v>0</v>
      </c>
      <c r="F7" s="35"/>
      <c r="G7" s="3">
        <v>93</v>
      </c>
      <c r="H7" s="3"/>
      <c r="I7" s="1" t="s">
        <v>7</v>
      </c>
    </row>
    <row r="8" spans="1:9" x14ac:dyDescent="0.25">
      <c r="A8" s="4" t="s">
        <v>22</v>
      </c>
      <c r="B8" s="4" t="s">
        <v>104</v>
      </c>
      <c r="C8" s="4" t="s">
        <v>8</v>
      </c>
      <c r="D8" s="35">
        <v>7000</v>
      </c>
      <c r="E8" s="3">
        <v>0</v>
      </c>
      <c r="F8" s="35">
        <v>2967</v>
      </c>
      <c r="G8" s="3">
        <v>12</v>
      </c>
      <c r="H8" s="3"/>
      <c r="I8" s="1" t="s">
        <v>7</v>
      </c>
    </row>
    <row r="9" spans="1:9" x14ac:dyDescent="0.25">
      <c r="A9" s="4" t="s">
        <v>24</v>
      </c>
      <c r="B9" s="4" t="s">
        <v>105</v>
      </c>
      <c r="C9" s="4" t="s">
        <v>8</v>
      </c>
      <c r="D9" s="35">
        <v>7000</v>
      </c>
      <c r="E9" s="3">
        <v>0</v>
      </c>
      <c r="F9" s="35">
        <v>2967</v>
      </c>
      <c r="G9" s="3">
        <v>14</v>
      </c>
      <c r="H9" s="3"/>
      <c r="I9" s="1" t="s">
        <v>7</v>
      </c>
    </row>
    <row r="10" spans="1:9" x14ac:dyDescent="0.25">
      <c r="A10" s="4" t="s">
        <v>27</v>
      </c>
      <c r="B10" s="4" t="s">
        <v>106</v>
      </c>
      <c r="C10" s="4" t="s">
        <v>8</v>
      </c>
      <c r="D10" s="35">
        <v>7000</v>
      </c>
      <c r="E10" s="3">
        <v>0</v>
      </c>
      <c r="F10" s="35">
        <v>2967</v>
      </c>
      <c r="G10" s="3">
        <v>21</v>
      </c>
      <c r="H10" s="3"/>
      <c r="I10" s="1" t="s">
        <v>7</v>
      </c>
    </row>
    <row r="11" spans="1:9" x14ac:dyDescent="0.25">
      <c r="A11" s="4" t="s">
        <v>28</v>
      </c>
      <c r="B11" s="4" t="s">
        <v>107</v>
      </c>
      <c r="C11" s="4" t="s">
        <v>8</v>
      </c>
      <c r="D11" s="35">
        <v>6000</v>
      </c>
      <c r="E11" s="3">
        <v>0</v>
      </c>
      <c r="F11" s="35">
        <v>2290</v>
      </c>
      <c r="G11" s="3">
        <v>37</v>
      </c>
      <c r="H11" s="3"/>
      <c r="I11" s="1" t="s">
        <v>7</v>
      </c>
    </row>
    <row r="12" spans="1:9" x14ac:dyDescent="0.25">
      <c r="A12" s="4" t="s">
        <v>29</v>
      </c>
      <c r="B12" s="4" t="s">
        <v>181</v>
      </c>
      <c r="C12" s="4" t="s">
        <v>8</v>
      </c>
      <c r="D12" s="35">
        <v>9000</v>
      </c>
      <c r="E12" s="3">
        <v>0</v>
      </c>
      <c r="F12" s="35"/>
      <c r="G12" s="3">
        <v>0</v>
      </c>
      <c r="H12" s="3"/>
      <c r="I12" s="1" t="s">
        <v>7</v>
      </c>
    </row>
    <row r="13" spans="1:9" x14ac:dyDescent="0.25">
      <c r="A13" s="4" t="s">
        <v>30</v>
      </c>
      <c r="B13" s="4" t="s">
        <v>108</v>
      </c>
      <c r="C13" s="4" t="s">
        <v>8</v>
      </c>
      <c r="D13" s="35">
        <v>6000</v>
      </c>
      <c r="E13" s="3">
        <v>0</v>
      </c>
      <c r="F13" s="35">
        <v>2293</v>
      </c>
      <c r="G13" s="3">
        <v>14</v>
      </c>
      <c r="H13" s="3"/>
      <c r="I13" s="1" t="s">
        <v>7</v>
      </c>
    </row>
    <row r="14" spans="1:9" x14ac:dyDescent="0.25">
      <c r="A14" s="4" t="s">
        <v>31</v>
      </c>
      <c r="B14" s="4" t="s">
        <v>109</v>
      </c>
      <c r="C14" s="4" t="s">
        <v>8</v>
      </c>
      <c r="D14" s="35">
        <v>6000</v>
      </c>
      <c r="E14" s="3">
        <v>0</v>
      </c>
      <c r="F14" s="35">
        <v>2354</v>
      </c>
      <c r="G14" s="3">
        <v>2</v>
      </c>
      <c r="H14" s="3"/>
      <c r="I14" s="1" t="s">
        <v>7</v>
      </c>
    </row>
    <row r="15" spans="1:9" x14ac:dyDescent="0.25">
      <c r="A15" s="4" t="s">
        <v>182</v>
      </c>
      <c r="B15" s="4" t="s">
        <v>183</v>
      </c>
      <c r="C15" s="4" t="s">
        <v>8</v>
      </c>
      <c r="D15" s="35">
        <v>9000</v>
      </c>
      <c r="E15" s="3">
        <v>0</v>
      </c>
      <c r="F15" s="35">
        <v>4847</v>
      </c>
      <c r="G15" s="3">
        <v>18</v>
      </c>
      <c r="H15" s="3"/>
      <c r="I15" s="1" t="s">
        <v>7</v>
      </c>
    </row>
    <row r="16" spans="1:9" x14ac:dyDescent="0.25">
      <c r="A16" s="4" t="s">
        <v>190</v>
      </c>
      <c r="B16" s="4" t="s">
        <v>184</v>
      </c>
      <c r="C16" s="4" t="s">
        <v>8</v>
      </c>
      <c r="D16" s="35">
        <v>6000</v>
      </c>
      <c r="E16" s="3">
        <v>0</v>
      </c>
      <c r="F16" s="35">
        <v>2450</v>
      </c>
      <c r="G16" s="3">
        <v>37</v>
      </c>
      <c r="H16" s="3"/>
      <c r="I16" s="1" t="s">
        <v>7</v>
      </c>
    </row>
    <row r="17" spans="1:9" x14ac:dyDescent="0.25">
      <c r="A17" s="4" t="s">
        <v>301</v>
      </c>
      <c r="B17" s="4" t="s">
        <v>191</v>
      </c>
      <c r="C17" s="4" t="s">
        <v>8</v>
      </c>
      <c r="D17" s="35">
        <v>3000</v>
      </c>
      <c r="E17" s="3">
        <v>0</v>
      </c>
      <c r="F17" s="35"/>
      <c r="G17" s="3">
        <v>995</v>
      </c>
      <c r="H17" s="3"/>
      <c r="I17" s="1" t="s">
        <v>7</v>
      </c>
    </row>
    <row r="18" spans="1:9" x14ac:dyDescent="0.25">
      <c r="A18" s="4" t="s">
        <v>32</v>
      </c>
      <c r="B18" s="4" t="s">
        <v>9</v>
      </c>
      <c r="C18" s="4" t="s">
        <v>8</v>
      </c>
      <c r="D18" s="35">
        <v>9000</v>
      </c>
      <c r="E18" s="3">
        <v>0</v>
      </c>
      <c r="F18" s="35">
        <v>2690</v>
      </c>
      <c r="G18" s="3">
        <v>39</v>
      </c>
      <c r="H18" s="3"/>
      <c r="I18" s="1" t="s">
        <v>7</v>
      </c>
    </row>
    <row r="19" spans="1:9" x14ac:dyDescent="0.25">
      <c r="A19" s="4" t="s">
        <v>33</v>
      </c>
      <c r="B19" s="4" t="s">
        <v>17</v>
      </c>
      <c r="C19" s="4" t="s">
        <v>8</v>
      </c>
      <c r="D19" s="35">
        <v>5000</v>
      </c>
      <c r="E19" s="3">
        <v>0</v>
      </c>
      <c r="F19" s="35">
        <v>3020</v>
      </c>
      <c r="G19" s="3">
        <v>102</v>
      </c>
      <c r="H19" s="3"/>
      <c r="I19" s="1" t="s">
        <v>7</v>
      </c>
    </row>
    <row r="20" spans="1:9" x14ac:dyDescent="0.25">
      <c r="A20" s="4" t="s">
        <v>34</v>
      </c>
      <c r="B20" s="4" t="s">
        <v>18</v>
      </c>
      <c r="C20" s="4" t="s">
        <v>8</v>
      </c>
      <c r="D20" s="35">
        <v>5000</v>
      </c>
      <c r="E20" s="3">
        <v>0</v>
      </c>
      <c r="F20" s="35"/>
      <c r="G20" s="3">
        <v>100</v>
      </c>
      <c r="H20" s="3"/>
      <c r="I20" s="1" t="s">
        <v>7</v>
      </c>
    </row>
    <row r="21" spans="1:9" x14ac:dyDescent="0.25">
      <c r="A21" s="4" t="s">
        <v>35</v>
      </c>
      <c r="B21" s="4" t="s">
        <v>19</v>
      </c>
      <c r="C21" s="4" t="s">
        <v>8</v>
      </c>
      <c r="D21" s="35">
        <v>10000</v>
      </c>
      <c r="E21" s="3">
        <v>0</v>
      </c>
      <c r="F21" s="35"/>
      <c r="G21" s="3">
        <v>100</v>
      </c>
      <c r="H21" s="3"/>
      <c r="I21" s="1" t="s">
        <v>7</v>
      </c>
    </row>
    <row r="22" spans="1:9" x14ac:dyDescent="0.25">
      <c r="A22" s="4" t="s">
        <v>240</v>
      </c>
      <c r="B22" s="4" t="s">
        <v>241</v>
      </c>
      <c r="C22" s="4" t="s">
        <v>8</v>
      </c>
      <c r="D22" s="35">
        <v>65000</v>
      </c>
      <c r="E22" s="3">
        <v>0</v>
      </c>
      <c r="F22" s="35"/>
      <c r="G22" s="3">
        <v>100</v>
      </c>
      <c r="H22" s="3"/>
      <c r="I22" s="1" t="s">
        <v>7</v>
      </c>
    </row>
    <row r="23" spans="1:9" x14ac:dyDescent="0.25">
      <c r="A23" s="4" t="s">
        <v>36</v>
      </c>
      <c r="B23" s="4" t="s">
        <v>20</v>
      </c>
      <c r="C23" s="4" t="s">
        <v>8</v>
      </c>
      <c r="D23" s="35">
        <v>10000</v>
      </c>
      <c r="E23" s="3">
        <v>0</v>
      </c>
      <c r="F23" s="35"/>
      <c r="G23" s="3">
        <v>100</v>
      </c>
      <c r="H23" s="3"/>
      <c r="I23" s="1" t="s">
        <v>7</v>
      </c>
    </row>
    <row r="24" spans="1:9" x14ac:dyDescent="0.25">
      <c r="A24" s="4" t="s">
        <v>240</v>
      </c>
      <c r="B24" s="4" t="s">
        <v>248</v>
      </c>
      <c r="C24" s="4" t="s">
        <v>8</v>
      </c>
      <c r="D24" s="35">
        <v>8000</v>
      </c>
      <c r="E24" s="3">
        <v>0</v>
      </c>
      <c r="F24" s="35"/>
      <c r="G24" s="3">
        <v>100</v>
      </c>
      <c r="H24" s="3"/>
      <c r="I24" s="1" t="s">
        <v>7</v>
      </c>
    </row>
    <row r="25" spans="1:9" x14ac:dyDescent="0.25">
      <c r="A25" s="4" t="s">
        <v>403</v>
      </c>
      <c r="B25" s="4" t="s">
        <v>404</v>
      </c>
      <c r="C25" s="4" t="s">
        <v>8</v>
      </c>
      <c r="D25" s="35">
        <v>7000</v>
      </c>
      <c r="E25" s="3">
        <v>0</v>
      </c>
      <c r="F25" s="35">
        <f>49950/16</f>
        <v>3121.875</v>
      </c>
      <c r="G25" s="3">
        <v>100</v>
      </c>
      <c r="H25" s="3"/>
      <c r="I25" s="1" t="s">
        <v>7</v>
      </c>
    </row>
    <row r="26" spans="1:9" x14ac:dyDescent="0.25">
      <c r="A26" s="4" t="s">
        <v>801</v>
      </c>
      <c r="B26" s="4" t="s">
        <v>802</v>
      </c>
      <c r="C26" s="4" t="s">
        <v>8</v>
      </c>
      <c r="D26" s="35">
        <v>5000</v>
      </c>
      <c r="E26" s="3">
        <v>0</v>
      </c>
      <c r="F26" s="35"/>
      <c r="G26" s="3">
        <v>98</v>
      </c>
      <c r="H26" s="3"/>
      <c r="I26" s="1" t="s">
        <v>7</v>
      </c>
    </row>
    <row r="27" spans="1:9" x14ac:dyDescent="0.25">
      <c r="A27" s="4" t="s">
        <v>10</v>
      </c>
      <c r="B27" s="4" t="s">
        <v>15</v>
      </c>
      <c r="C27" s="4" t="s">
        <v>11</v>
      </c>
      <c r="D27" s="35">
        <v>10000</v>
      </c>
      <c r="E27" s="3">
        <v>0</v>
      </c>
      <c r="F27" s="35"/>
      <c r="G27" s="3">
        <v>15</v>
      </c>
      <c r="H27" s="3"/>
      <c r="I27" s="1" t="s">
        <v>7</v>
      </c>
    </row>
    <row r="28" spans="1:9" ht="30" x14ac:dyDescent="0.25">
      <c r="A28" s="4" t="s">
        <v>906</v>
      </c>
      <c r="B28" s="4" t="s">
        <v>905</v>
      </c>
      <c r="C28" s="4" t="s">
        <v>11</v>
      </c>
      <c r="D28" s="35">
        <v>7000</v>
      </c>
      <c r="E28" s="3">
        <v>0</v>
      </c>
      <c r="F28" s="35"/>
      <c r="G28" s="3">
        <v>1000</v>
      </c>
      <c r="H28" s="3"/>
      <c r="I28" s="1" t="s">
        <v>7</v>
      </c>
    </row>
    <row r="29" spans="1:9" x14ac:dyDescent="0.25">
      <c r="A29" s="4" t="s">
        <v>65</v>
      </c>
      <c r="B29" s="4" t="s">
        <v>16</v>
      </c>
      <c r="C29" s="4" t="s">
        <v>11</v>
      </c>
      <c r="D29" s="35">
        <v>10000</v>
      </c>
      <c r="E29" s="3">
        <v>0</v>
      </c>
      <c r="F29" s="35">
        <v>4030</v>
      </c>
      <c r="G29" s="3">
        <v>61</v>
      </c>
      <c r="H29" s="3"/>
      <c r="I29" s="1" t="s">
        <v>7</v>
      </c>
    </row>
    <row r="30" spans="1:9" x14ac:dyDescent="0.25">
      <c r="A30" s="4" t="s">
        <v>88</v>
      </c>
      <c r="B30" s="4" t="s">
        <v>90</v>
      </c>
      <c r="C30" s="4" t="s">
        <v>89</v>
      </c>
      <c r="D30" s="35">
        <v>50000</v>
      </c>
      <c r="E30" s="3">
        <v>0</v>
      </c>
      <c r="F30" s="35"/>
      <c r="G30" s="3">
        <v>10</v>
      </c>
      <c r="H30" s="3"/>
      <c r="I30" s="1" t="s">
        <v>7</v>
      </c>
    </row>
    <row r="31" spans="1:9" x14ac:dyDescent="0.25">
      <c r="A31" s="4" t="s">
        <v>110</v>
      </c>
      <c r="B31" s="4" t="s">
        <v>115</v>
      </c>
      <c r="C31" s="4" t="s">
        <v>111</v>
      </c>
      <c r="D31" s="35">
        <v>6000</v>
      </c>
      <c r="E31" s="3">
        <v>0</v>
      </c>
      <c r="F31" s="35">
        <v>1000</v>
      </c>
      <c r="G31" s="3">
        <v>29995</v>
      </c>
      <c r="H31" s="3"/>
      <c r="I31" s="1" t="s">
        <v>7</v>
      </c>
    </row>
    <row r="32" spans="1:9" x14ac:dyDescent="0.25">
      <c r="A32" s="4" t="s">
        <v>112</v>
      </c>
      <c r="B32" s="4" t="s">
        <v>114</v>
      </c>
      <c r="C32" s="4" t="s">
        <v>111</v>
      </c>
      <c r="D32" s="35">
        <v>6000</v>
      </c>
      <c r="E32" s="3">
        <v>0</v>
      </c>
      <c r="F32" s="35"/>
      <c r="G32" s="3">
        <v>9</v>
      </c>
      <c r="H32" s="3"/>
      <c r="I32" s="1" t="s">
        <v>7</v>
      </c>
    </row>
    <row r="33" spans="1:9" ht="30" x14ac:dyDescent="0.25">
      <c r="A33" s="36" t="s">
        <v>113</v>
      </c>
      <c r="B33" s="4" t="s">
        <v>171</v>
      </c>
      <c r="C33" s="4" t="s">
        <v>111</v>
      </c>
      <c r="D33" s="35">
        <v>6000</v>
      </c>
      <c r="E33" s="3">
        <v>0</v>
      </c>
      <c r="F33" s="35"/>
      <c r="G33" s="3">
        <v>9</v>
      </c>
      <c r="H33" s="3">
        <v>12</v>
      </c>
      <c r="I33" s="1" t="s">
        <v>7</v>
      </c>
    </row>
    <row r="34" spans="1:9" x14ac:dyDescent="0.25">
      <c r="A34" s="36" t="s">
        <v>186</v>
      </c>
      <c r="B34" s="4" t="s">
        <v>187</v>
      </c>
      <c r="C34" s="4" t="s">
        <v>111</v>
      </c>
      <c r="D34" s="35">
        <v>3000</v>
      </c>
      <c r="E34" s="3">
        <v>0</v>
      </c>
      <c r="F34" s="35">
        <v>700</v>
      </c>
      <c r="G34" s="3">
        <v>14</v>
      </c>
      <c r="H34" s="3">
        <v>12</v>
      </c>
      <c r="I34" s="1" t="s">
        <v>7</v>
      </c>
    </row>
    <row r="35" spans="1:9" x14ac:dyDescent="0.25">
      <c r="A35" s="36" t="s">
        <v>244</v>
      </c>
      <c r="B35" s="4" t="s">
        <v>245</v>
      </c>
      <c r="C35" s="4" t="s">
        <v>111</v>
      </c>
      <c r="D35" s="35">
        <v>7000</v>
      </c>
      <c r="E35" s="3">
        <v>0</v>
      </c>
      <c r="F35" s="35"/>
      <c r="G35" s="3">
        <v>20</v>
      </c>
      <c r="H35" s="3"/>
      <c r="I35" s="1" t="s">
        <v>7</v>
      </c>
    </row>
    <row r="36" spans="1:9" x14ac:dyDescent="0.25">
      <c r="A36" s="36" t="s">
        <v>127</v>
      </c>
      <c r="B36" s="4" t="s">
        <v>128</v>
      </c>
      <c r="C36" s="4" t="s">
        <v>111</v>
      </c>
      <c r="D36" s="35">
        <v>4000</v>
      </c>
      <c r="E36" s="3">
        <v>0</v>
      </c>
      <c r="F36" s="35"/>
      <c r="G36" s="3">
        <v>7</v>
      </c>
      <c r="H36" s="3">
        <v>12</v>
      </c>
      <c r="I36" s="1" t="s">
        <v>7</v>
      </c>
    </row>
    <row r="37" spans="1:9" x14ac:dyDescent="0.25">
      <c r="A37" s="36" t="s">
        <v>164</v>
      </c>
      <c r="B37" s="4" t="s">
        <v>165</v>
      </c>
      <c r="C37" s="4" t="s">
        <v>111</v>
      </c>
      <c r="D37" s="35">
        <v>4000</v>
      </c>
      <c r="E37" s="3">
        <v>0</v>
      </c>
      <c r="F37" s="35"/>
      <c r="G37" s="3">
        <v>17</v>
      </c>
      <c r="H37" s="3">
        <v>12</v>
      </c>
      <c r="I37" s="1" t="s">
        <v>7</v>
      </c>
    </row>
    <row r="38" spans="1:9" x14ac:dyDescent="0.25">
      <c r="A38" s="36" t="s">
        <v>158</v>
      </c>
      <c r="B38" s="4" t="s">
        <v>159</v>
      </c>
      <c r="C38" s="4" t="s">
        <v>160</v>
      </c>
      <c r="D38" s="35">
        <v>1400</v>
      </c>
      <c r="E38" s="3">
        <v>0</v>
      </c>
      <c r="F38" s="35">
        <v>800</v>
      </c>
      <c r="G38" s="3">
        <v>21</v>
      </c>
      <c r="H38" s="3">
        <v>5</v>
      </c>
      <c r="I38" s="1" t="s">
        <v>7</v>
      </c>
    </row>
    <row r="39" spans="1:9" x14ac:dyDescent="0.25">
      <c r="A39" s="36" t="s">
        <v>302</v>
      </c>
      <c r="B39" s="4" t="s">
        <v>161</v>
      </c>
      <c r="C39" s="4" t="s">
        <v>160</v>
      </c>
      <c r="D39" s="35">
        <v>1200</v>
      </c>
      <c r="E39" s="3">
        <v>0</v>
      </c>
      <c r="F39" s="35">
        <v>660</v>
      </c>
      <c r="G39" s="3">
        <v>29</v>
      </c>
      <c r="H39" s="3">
        <v>5</v>
      </c>
      <c r="I39" s="1" t="s">
        <v>7</v>
      </c>
    </row>
    <row r="40" spans="1:9" x14ac:dyDescent="0.25">
      <c r="A40" s="36" t="s">
        <v>242</v>
      </c>
      <c r="B40" s="4" t="s">
        <v>243</v>
      </c>
      <c r="C40" s="4" t="s">
        <v>246</v>
      </c>
      <c r="D40" s="35">
        <v>3000</v>
      </c>
      <c r="E40" s="3">
        <v>0</v>
      </c>
      <c r="F40" s="35"/>
      <c r="G40" s="3">
        <v>20</v>
      </c>
      <c r="H40" s="3"/>
      <c r="I40" s="1" t="s">
        <v>7</v>
      </c>
    </row>
    <row r="41" spans="1:9" x14ac:dyDescent="0.25">
      <c r="A41" s="36" t="s">
        <v>425</v>
      </c>
      <c r="B41" s="4" t="s">
        <v>426</v>
      </c>
      <c r="C41" s="4" t="s">
        <v>11</v>
      </c>
      <c r="D41" s="35">
        <v>349200</v>
      </c>
      <c r="E41" s="3">
        <v>0</v>
      </c>
      <c r="F41" s="35"/>
      <c r="G41" s="3">
        <v>20</v>
      </c>
      <c r="H41" s="3"/>
      <c r="I41" s="1" t="s">
        <v>7</v>
      </c>
    </row>
    <row r="42" spans="1:9" x14ac:dyDescent="0.25">
      <c r="A42" s="36" t="s">
        <v>437</v>
      </c>
      <c r="B42" s="4" t="s">
        <v>435</v>
      </c>
      <c r="C42" s="4" t="s">
        <v>439</v>
      </c>
      <c r="D42" s="35">
        <v>20000</v>
      </c>
      <c r="E42" s="3">
        <v>0</v>
      </c>
      <c r="F42" s="35"/>
      <c r="G42" s="3">
        <v>50</v>
      </c>
      <c r="H42" s="3"/>
      <c r="I42" s="1" t="s">
        <v>7</v>
      </c>
    </row>
    <row r="43" spans="1:9" x14ac:dyDescent="0.25">
      <c r="A43" s="36" t="s">
        <v>438</v>
      </c>
      <c r="B43" s="4" t="s">
        <v>436</v>
      </c>
      <c r="C43" s="4" t="s">
        <v>439</v>
      </c>
      <c r="D43" s="35">
        <v>25000</v>
      </c>
      <c r="E43" s="3">
        <v>0</v>
      </c>
      <c r="F43" s="35"/>
      <c r="G43" s="3">
        <v>50</v>
      </c>
      <c r="H43" s="3"/>
      <c r="I43" s="1" t="s">
        <v>7</v>
      </c>
    </row>
    <row r="44" spans="1:9" x14ac:dyDescent="0.25">
      <c r="A44" s="36" t="s">
        <v>136</v>
      </c>
      <c r="B44" s="4" t="s">
        <v>137</v>
      </c>
      <c r="C44" s="4" t="s">
        <v>11</v>
      </c>
      <c r="D44" s="35">
        <v>35000</v>
      </c>
      <c r="E44" s="3">
        <v>0</v>
      </c>
      <c r="F44" s="35">
        <v>23000</v>
      </c>
      <c r="G44" s="3">
        <v>0</v>
      </c>
      <c r="H44" s="3">
        <v>1</v>
      </c>
      <c r="I44" s="1" t="s">
        <v>156</v>
      </c>
    </row>
    <row r="45" spans="1:9" x14ac:dyDescent="0.25">
      <c r="A45" s="36" t="s">
        <v>517</v>
      </c>
      <c r="B45" s="4" t="s">
        <v>518</v>
      </c>
      <c r="C45" s="4"/>
      <c r="D45" s="35">
        <v>7000</v>
      </c>
      <c r="E45" s="3">
        <v>0</v>
      </c>
      <c r="F45" s="35">
        <v>0</v>
      </c>
      <c r="G45" s="3">
        <v>996</v>
      </c>
      <c r="H45" s="3">
        <v>0</v>
      </c>
      <c r="I45" s="1" t="s">
        <v>7</v>
      </c>
    </row>
    <row r="46" spans="1:9" x14ac:dyDescent="0.25">
      <c r="A46" s="36" t="s">
        <v>631</v>
      </c>
      <c r="B46" s="4" t="s">
        <v>632</v>
      </c>
      <c r="C46" s="4" t="s">
        <v>8</v>
      </c>
      <c r="D46" s="35">
        <v>13000</v>
      </c>
      <c r="E46" s="3">
        <v>0</v>
      </c>
      <c r="F46" s="35">
        <v>3250</v>
      </c>
      <c r="G46" s="3">
        <v>9998</v>
      </c>
      <c r="H46" s="3">
        <v>0</v>
      </c>
      <c r="I46" s="1" t="s">
        <v>7</v>
      </c>
    </row>
    <row r="47" spans="1:9" x14ac:dyDescent="0.25">
      <c r="A47" s="36"/>
      <c r="B47" s="4"/>
      <c r="C47" s="4"/>
      <c r="D47" s="35"/>
      <c r="E47" s="3"/>
      <c r="F47" s="37"/>
      <c r="G47" s="3"/>
      <c r="H47" s="3"/>
      <c r="I47" s="1"/>
    </row>
    <row r="48" spans="1:9" x14ac:dyDescent="0.25">
      <c r="A48" s="36"/>
      <c r="B48" s="4"/>
      <c r="C48" s="4"/>
      <c r="D48" s="35"/>
      <c r="E48" s="3"/>
      <c r="F48" s="37"/>
      <c r="G48" s="3"/>
      <c r="H48" s="3"/>
      <c r="I48" s="1"/>
    </row>
    <row r="49" spans="1:9" x14ac:dyDescent="0.25">
      <c r="A49" s="36"/>
      <c r="B49" s="4"/>
      <c r="C49" s="4"/>
      <c r="D49" s="35"/>
      <c r="E49" s="3"/>
      <c r="F49" s="37"/>
      <c r="G49" s="3"/>
      <c r="H49" s="3"/>
      <c r="I49" s="1"/>
    </row>
    <row r="50" spans="1:9" x14ac:dyDescent="0.25">
      <c r="A50" s="36"/>
      <c r="B50" s="4"/>
      <c r="C50" s="4"/>
      <c r="D50" s="35"/>
      <c r="E50" s="3"/>
      <c r="F50" s="37"/>
      <c r="G50" s="3"/>
      <c r="H50" s="3"/>
      <c r="I50" s="1"/>
    </row>
    <row r="51" spans="1:9" x14ac:dyDescent="0.25">
      <c r="A51" s="4"/>
      <c r="B51" s="4"/>
      <c r="C51" s="4"/>
      <c r="D51" s="35"/>
      <c r="E51" s="3"/>
      <c r="F51" s="3"/>
      <c r="G51" s="3"/>
      <c r="H51" s="3"/>
      <c r="I51" s="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2F76-97F6-467B-ACAF-770E5A63AAD7}">
  <sheetPr codeName="Hoja15"/>
  <dimension ref="A1:R107"/>
  <sheetViews>
    <sheetView topLeftCell="A86" workbookViewId="0">
      <selection activeCell="A107" sqref="A107:H107"/>
    </sheetView>
  </sheetViews>
  <sheetFormatPr baseColWidth="10" defaultRowHeight="15" x14ac:dyDescent="0.25"/>
  <cols>
    <col min="1" max="1" width="15.5703125" customWidth="1"/>
    <col min="4" max="4" width="34" customWidth="1"/>
    <col min="5" max="5" width="43.42578125" bestFit="1" customWidth="1"/>
    <col min="6" max="6" width="15" customWidth="1"/>
    <col min="7" max="7" width="12.7109375" bestFit="1" customWidth="1"/>
    <col min="8" max="8" width="13.28515625" customWidth="1"/>
  </cols>
  <sheetData>
    <row r="1" spans="1:8" x14ac:dyDescent="0.25">
      <c r="A1" s="13" t="s">
        <v>138</v>
      </c>
      <c r="B1" s="13" t="s">
        <v>51</v>
      </c>
      <c r="C1" s="13" t="s">
        <v>52</v>
      </c>
      <c r="D1" s="13" t="s">
        <v>139</v>
      </c>
      <c r="E1" s="13" t="s">
        <v>140</v>
      </c>
      <c r="F1" s="13" t="s">
        <v>67</v>
      </c>
      <c r="G1" s="13" t="s">
        <v>57</v>
      </c>
      <c r="H1" s="13" t="s">
        <v>84</v>
      </c>
    </row>
    <row r="2" spans="1:8" x14ac:dyDescent="0.25">
      <c r="A2" s="13" t="s">
        <v>256</v>
      </c>
      <c r="B2" s="51">
        <v>46239</v>
      </c>
      <c r="C2" s="41">
        <v>0.37912037037037039</v>
      </c>
      <c r="D2" s="13" t="s">
        <v>260</v>
      </c>
      <c r="E2" s="13" t="s">
        <v>296</v>
      </c>
      <c r="F2" s="13" t="s">
        <v>281</v>
      </c>
      <c r="G2" s="52">
        <v>4300000</v>
      </c>
      <c r="H2" s="13"/>
    </row>
    <row r="3" spans="1:8" x14ac:dyDescent="0.25">
      <c r="A3" s="13" t="s">
        <v>282</v>
      </c>
      <c r="B3" s="53">
        <v>46240</v>
      </c>
      <c r="C3" s="41">
        <v>0.37912037037037039</v>
      </c>
      <c r="D3" s="13" t="s">
        <v>271</v>
      </c>
      <c r="E3" s="13" t="s">
        <v>272</v>
      </c>
      <c r="F3" s="13" t="s">
        <v>258</v>
      </c>
      <c r="G3" s="52">
        <v>3400</v>
      </c>
      <c r="H3" s="13"/>
    </row>
    <row r="4" spans="1:8" x14ac:dyDescent="0.25">
      <c r="A4" s="13" t="s">
        <v>283</v>
      </c>
      <c r="B4" s="53">
        <v>46240</v>
      </c>
      <c r="C4" s="41">
        <v>0.37912037037037039</v>
      </c>
      <c r="D4" s="13" t="s">
        <v>320</v>
      </c>
      <c r="E4" s="54" t="s">
        <v>304</v>
      </c>
      <c r="F4" s="13" t="s">
        <v>258</v>
      </c>
      <c r="G4" s="52">
        <v>6600</v>
      </c>
    </row>
    <row r="5" spans="1:8" x14ac:dyDescent="0.25">
      <c r="A5" s="13" t="s">
        <v>284</v>
      </c>
      <c r="B5" s="53">
        <v>46240</v>
      </c>
      <c r="C5" s="41">
        <v>0.37912037037037039</v>
      </c>
      <c r="D5" s="13" t="s">
        <v>320</v>
      </c>
      <c r="E5" s="54" t="s">
        <v>305</v>
      </c>
      <c r="F5" s="13" t="s">
        <v>258</v>
      </c>
      <c r="G5" s="52">
        <v>6990</v>
      </c>
    </row>
    <row r="6" spans="1:8" x14ac:dyDescent="0.25">
      <c r="A6" s="13" t="s">
        <v>285</v>
      </c>
      <c r="B6" s="53">
        <v>46240</v>
      </c>
      <c r="C6" s="41">
        <v>0.37912037037037039</v>
      </c>
      <c r="D6" s="13" t="s">
        <v>320</v>
      </c>
      <c r="E6" s="54" t="s">
        <v>306</v>
      </c>
      <c r="F6" s="13" t="s">
        <v>258</v>
      </c>
      <c r="G6" s="52">
        <v>6300</v>
      </c>
    </row>
    <row r="7" spans="1:8" x14ac:dyDescent="0.25">
      <c r="A7" s="13" t="s">
        <v>286</v>
      </c>
      <c r="B7" s="53">
        <v>46240</v>
      </c>
      <c r="C7" s="41">
        <v>0.37912037037037039</v>
      </c>
      <c r="D7" s="13" t="s">
        <v>320</v>
      </c>
      <c r="E7" s="54" t="s">
        <v>307</v>
      </c>
      <c r="F7" s="13" t="s">
        <v>258</v>
      </c>
      <c r="G7" s="52">
        <v>13400</v>
      </c>
    </row>
    <row r="8" spans="1:8" x14ac:dyDescent="0.25">
      <c r="A8" s="13" t="s">
        <v>287</v>
      </c>
      <c r="B8" s="53">
        <v>46240</v>
      </c>
      <c r="C8" s="41">
        <v>0.37912037037037039</v>
      </c>
      <c r="D8" s="13" t="s">
        <v>320</v>
      </c>
      <c r="E8" s="54" t="s">
        <v>308</v>
      </c>
      <c r="F8" s="13" t="s">
        <v>258</v>
      </c>
      <c r="G8" s="52">
        <v>10500</v>
      </c>
    </row>
    <row r="9" spans="1:8" x14ac:dyDescent="0.25">
      <c r="A9" s="13" t="s">
        <v>288</v>
      </c>
      <c r="B9" s="53">
        <v>46240</v>
      </c>
      <c r="C9" s="41">
        <v>0.37912037037037039</v>
      </c>
      <c r="D9" s="13" t="s">
        <v>320</v>
      </c>
      <c r="E9" s="54" t="s">
        <v>309</v>
      </c>
      <c r="F9" s="13" t="s">
        <v>258</v>
      </c>
      <c r="G9" s="52">
        <v>5970</v>
      </c>
    </row>
    <row r="10" spans="1:8" x14ac:dyDescent="0.25">
      <c r="A10" s="13" t="s">
        <v>289</v>
      </c>
      <c r="B10" s="55">
        <v>46240</v>
      </c>
      <c r="C10" s="41">
        <v>0.37912037037037039</v>
      </c>
      <c r="D10" s="13" t="s">
        <v>320</v>
      </c>
      <c r="E10" s="54" t="s">
        <v>310</v>
      </c>
      <c r="F10" s="13" t="s">
        <v>258</v>
      </c>
      <c r="G10" s="52">
        <v>6500</v>
      </c>
    </row>
    <row r="11" spans="1:8" x14ac:dyDescent="0.25">
      <c r="A11" s="13" t="s">
        <v>290</v>
      </c>
      <c r="B11" s="55">
        <v>46240</v>
      </c>
      <c r="C11" s="41">
        <v>0.37912037037037039</v>
      </c>
      <c r="D11" s="13" t="s">
        <v>320</v>
      </c>
      <c r="E11" s="54" t="s">
        <v>311</v>
      </c>
      <c r="F11" s="13" t="s">
        <v>258</v>
      </c>
      <c r="G11" s="52">
        <v>22000</v>
      </c>
    </row>
    <row r="12" spans="1:8" x14ac:dyDescent="0.25">
      <c r="A12" s="13" t="s">
        <v>291</v>
      </c>
      <c r="B12" s="53">
        <v>46240</v>
      </c>
      <c r="C12" s="41">
        <v>0.37912037037037039</v>
      </c>
      <c r="D12" s="13" t="s">
        <v>320</v>
      </c>
      <c r="E12" s="54" t="s">
        <v>312</v>
      </c>
      <c r="F12" s="13" t="s">
        <v>258</v>
      </c>
      <c r="G12" s="52">
        <v>6000</v>
      </c>
    </row>
    <row r="13" spans="1:8" x14ac:dyDescent="0.25">
      <c r="A13" s="13" t="s">
        <v>292</v>
      </c>
      <c r="B13" s="53">
        <v>46240</v>
      </c>
      <c r="C13" s="41">
        <v>0.37912037037037039</v>
      </c>
      <c r="D13" s="13" t="s">
        <v>320</v>
      </c>
      <c r="E13" s="54" t="s">
        <v>313</v>
      </c>
      <c r="F13" s="13" t="s">
        <v>258</v>
      </c>
      <c r="G13" s="52">
        <v>5600</v>
      </c>
    </row>
    <row r="14" spans="1:8" x14ac:dyDescent="0.25">
      <c r="A14" s="13" t="s">
        <v>293</v>
      </c>
      <c r="B14" s="51">
        <v>46241</v>
      </c>
      <c r="C14" s="41">
        <v>0.37912037037037039</v>
      </c>
      <c r="D14" s="13" t="s">
        <v>271</v>
      </c>
      <c r="E14" s="13" t="s">
        <v>273</v>
      </c>
      <c r="F14" s="13" t="s">
        <v>258</v>
      </c>
      <c r="G14" s="52">
        <v>10000</v>
      </c>
      <c r="H14" s="13"/>
    </row>
    <row r="15" spans="1:8" x14ac:dyDescent="0.25">
      <c r="A15" s="13" t="s">
        <v>294</v>
      </c>
      <c r="B15" s="53">
        <v>46242</v>
      </c>
      <c r="C15" s="41">
        <v>0.37912037037037039</v>
      </c>
      <c r="D15" s="13" t="s">
        <v>320</v>
      </c>
      <c r="E15" s="54" t="s">
        <v>311</v>
      </c>
      <c r="F15" s="13" t="s">
        <v>258</v>
      </c>
      <c r="G15" s="52">
        <v>10700</v>
      </c>
    </row>
    <row r="16" spans="1:8" x14ac:dyDescent="0.25">
      <c r="A16" s="13" t="s">
        <v>295</v>
      </c>
      <c r="B16" s="53">
        <v>46246</v>
      </c>
      <c r="C16" s="41">
        <v>0.37912037037037039</v>
      </c>
      <c r="D16" s="13" t="s">
        <v>271</v>
      </c>
      <c r="E16" s="13" t="s">
        <v>273</v>
      </c>
      <c r="F16" s="13" t="s">
        <v>258</v>
      </c>
      <c r="G16" s="52">
        <v>8000</v>
      </c>
      <c r="H16" s="13"/>
    </row>
    <row r="17" spans="1:7" x14ac:dyDescent="0.25">
      <c r="A17" s="13" t="s">
        <v>321</v>
      </c>
      <c r="B17" s="53">
        <v>46246</v>
      </c>
      <c r="C17" s="41">
        <v>0.37912037037037039</v>
      </c>
      <c r="D17" s="13" t="s">
        <v>271</v>
      </c>
      <c r="E17" s="54" t="s">
        <v>272</v>
      </c>
      <c r="F17" s="13" t="s">
        <v>258</v>
      </c>
      <c r="G17" s="52">
        <v>3400</v>
      </c>
    </row>
    <row r="18" spans="1:7" x14ac:dyDescent="0.25">
      <c r="A18" s="13" t="s">
        <v>322</v>
      </c>
      <c r="B18" s="53">
        <v>46246</v>
      </c>
      <c r="C18" s="41">
        <v>0.37912037037037039</v>
      </c>
      <c r="D18" s="13" t="s">
        <v>271</v>
      </c>
      <c r="E18" s="54" t="s">
        <v>272</v>
      </c>
      <c r="F18" s="13" t="s">
        <v>258</v>
      </c>
      <c r="G18" s="52">
        <v>3700</v>
      </c>
    </row>
    <row r="19" spans="1:7" x14ac:dyDescent="0.25">
      <c r="A19" s="13" t="s">
        <v>323</v>
      </c>
      <c r="B19" s="53">
        <v>46246</v>
      </c>
      <c r="C19" s="41">
        <v>0.37912037037037039</v>
      </c>
      <c r="D19" s="13" t="s">
        <v>271</v>
      </c>
      <c r="E19" s="54" t="s">
        <v>274</v>
      </c>
      <c r="F19" s="13" t="s">
        <v>258</v>
      </c>
      <c r="G19" s="52">
        <v>7000</v>
      </c>
    </row>
    <row r="20" spans="1:7" x14ac:dyDescent="0.25">
      <c r="A20" s="13" t="s">
        <v>324</v>
      </c>
      <c r="B20" s="53">
        <v>46246</v>
      </c>
      <c r="C20" s="41">
        <v>0.37912037037037039</v>
      </c>
      <c r="D20" s="13" t="s">
        <v>271</v>
      </c>
      <c r="E20" s="54" t="s">
        <v>275</v>
      </c>
      <c r="F20" s="13" t="s">
        <v>258</v>
      </c>
      <c r="G20" s="52">
        <v>400</v>
      </c>
    </row>
    <row r="21" spans="1:7" x14ac:dyDescent="0.25">
      <c r="A21" s="13" t="s">
        <v>325</v>
      </c>
      <c r="B21" s="53">
        <v>46246</v>
      </c>
      <c r="C21" s="41">
        <v>0.37912037037037039</v>
      </c>
      <c r="D21" s="13" t="s">
        <v>257</v>
      </c>
      <c r="E21" s="54" t="s">
        <v>276</v>
      </c>
      <c r="F21" s="13" t="s">
        <v>258</v>
      </c>
      <c r="G21" s="52">
        <v>16470</v>
      </c>
    </row>
    <row r="22" spans="1:7" x14ac:dyDescent="0.25">
      <c r="A22" s="13" t="s">
        <v>326</v>
      </c>
      <c r="B22" s="55">
        <v>46246</v>
      </c>
      <c r="C22" s="41">
        <v>0.37912037037037039</v>
      </c>
      <c r="D22" s="13" t="s">
        <v>320</v>
      </c>
      <c r="E22" s="54" t="s">
        <v>314</v>
      </c>
      <c r="F22" s="13" t="s">
        <v>258</v>
      </c>
      <c r="G22" s="52">
        <v>12670</v>
      </c>
    </row>
    <row r="23" spans="1:7" x14ac:dyDescent="0.25">
      <c r="A23" s="13" t="s">
        <v>327</v>
      </c>
      <c r="B23" s="55">
        <v>46246</v>
      </c>
      <c r="C23" s="41">
        <v>0.37912037037037039</v>
      </c>
      <c r="D23" s="13" t="s">
        <v>320</v>
      </c>
      <c r="E23" s="54" t="s">
        <v>313</v>
      </c>
      <c r="F23" s="13" t="s">
        <v>258</v>
      </c>
      <c r="G23" s="52">
        <v>5600</v>
      </c>
    </row>
    <row r="24" spans="1:7" x14ac:dyDescent="0.25">
      <c r="A24" s="13" t="s">
        <v>328</v>
      </c>
      <c r="B24" s="53">
        <v>46246</v>
      </c>
      <c r="C24" s="41">
        <v>0.37912037037037039</v>
      </c>
      <c r="D24" s="13" t="s">
        <v>320</v>
      </c>
      <c r="E24" s="54" t="s">
        <v>304</v>
      </c>
      <c r="F24" s="13" t="s">
        <v>258</v>
      </c>
      <c r="G24" s="52">
        <v>6600</v>
      </c>
    </row>
    <row r="25" spans="1:7" x14ac:dyDescent="0.25">
      <c r="A25" s="13" t="s">
        <v>329</v>
      </c>
      <c r="B25" s="53">
        <v>46246</v>
      </c>
      <c r="C25" s="41">
        <v>0.37912037037037039</v>
      </c>
      <c r="D25" s="13" t="s">
        <v>320</v>
      </c>
      <c r="E25" s="54" t="s">
        <v>305</v>
      </c>
      <c r="F25" s="13" t="s">
        <v>258</v>
      </c>
      <c r="G25" s="52">
        <v>6990</v>
      </c>
    </row>
    <row r="26" spans="1:7" x14ac:dyDescent="0.25">
      <c r="A26" s="13" t="s">
        <v>330</v>
      </c>
      <c r="B26" s="53">
        <v>46246</v>
      </c>
      <c r="C26" s="41">
        <v>0.37912037037037039</v>
      </c>
      <c r="D26" s="13" t="s">
        <v>320</v>
      </c>
      <c r="E26" s="54" t="s">
        <v>309</v>
      </c>
      <c r="F26" s="13" t="s">
        <v>258</v>
      </c>
      <c r="G26" s="52">
        <v>3980</v>
      </c>
    </row>
    <row r="27" spans="1:7" x14ac:dyDescent="0.25">
      <c r="A27" s="13" t="s">
        <v>331</v>
      </c>
      <c r="B27" s="53">
        <v>46249</v>
      </c>
      <c r="C27" s="41">
        <v>0.37912037037037039</v>
      </c>
      <c r="D27" s="13" t="s">
        <v>271</v>
      </c>
      <c r="E27" s="54" t="s">
        <v>303</v>
      </c>
      <c r="F27" s="13" t="s">
        <v>258</v>
      </c>
      <c r="G27" s="52">
        <v>5990</v>
      </c>
    </row>
    <row r="28" spans="1:7" x14ac:dyDescent="0.25">
      <c r="A28" s="13" t="s">
        <v>332</v>
      </c>
      <c r="B28" s="53">
        <v>46249</v>
      </c>
      <c r="C28" s="41">
        <v>0.37912037037037039</v>
      </c>
      <c r="D28" s="13" t="s">
        <v>320</v>
      </c>
      <c r="E28" s="54" t="s">
        <v>308</v>
      </c>
      <c r="F28" s="13" t="s">
        <v>258</v>
      </c>
      <c r="G28" s="52">
        <v>10500</v>
      </c>
    </row>
    <row r="29" spans="1:7" x14ac:dyDescent="0.25">
      <c r="A29" s="13" t="s">
        <v>333</v>
      </c>
      <c r="B29" s="53">
        <v>46249</v>
      </c>
      <c r="C29" s="41">
        <v>0.37912037037037039</v>
      </c>
      <c r="D29" s="13" t="s">
        <v>320</v>
      </c>
      <c r="E29" s="54" t="s">
        <v>315</v>
      </c>
      <c r="F29" s="13" t="s">
        <v>258</v>
      </c>
      <c r="G29" s="52">
        <v>13000</v>
      </c>
    </row>
    <row r="30" spans="1:7" x14ac:dyDescent="0.25">
      <c r="A30" s="13" t="s">
        <v>334</v>
      </c>
      <c r="B30" s="53">
        <v>46254</v>
      </c>
      <c r="C30" s="41">
        <v>0.37912037037037039</v>
      </c>
      <c r="D30" s="13" t="s">
        <v>257</v>
      </c>
      <c r="E30" s="54" t="s">
        <v>277</v>
      </c>
      <c r="F30" s="13" t="s">
        <v>258</v>
      </c>
      <c r="G30" s="52">
        <v>2450</v>
      </c>
    </row>
    <row r="31" spans="1:7" x14ac:dyDescent="0.25">
      <c r="A31" s="13" t="s">
        <v>335</v>
      </c>
      <c r="B31" s="53">
        <v>46254</v>
      </c>
      <c r="C31" s="41">
        <v>0.37912037037037039</v>
      </c>
      <c r="D31" s="13" t="s">
        <v>257</v>
      </c>
      <c r="E31" s="54" t="s">
        <v>275</v>
      </c>
      <c r="F31" s="13" t="s">
        <v>258</v>
      </c>
      <c r="G31" s="52">
        <v>2350</v>
      </c>
    </row>
    <row r="32" spans="1:7" x14ac:dyDescent="0.25">
      <c r="A32" s="13" t="s">
        <v>336</v>
      </c>
      <c r="B32" s="53">
        <v>46254</v>
      </c>
      <c r="C32" s="41">
        <v>0.37912037037037039</v>
      </c>
      <c r="D32" s="13" t="s">
        <v>257</v>
      </c>
      <c r="E32" s="54" t="s">
        <v>275</v>
      </c>
      <c r="F32" s="13" t="s">
        <v>258</v>
      </c>
      <c r="G32" s="52">
        <v>1990</v>
      </c>
    </row>
    <row r="33" spans="1:7" x14ac:dyDescent="0.25">
      <c r="A33" s="13" t="s">
        <v>337</v>
      </c>
      <c r="B33" s="53">
        <v>46254</v>
      </c>
      <c r="C33" s="41">
        <v>0.37912037037037039</v>
      </c>
      <c r="D33" s="13" t="s">
        <v>320</v>
      </c>
      <c r="E33" s="54" t="s">
        <v>316</v>
      </c>
      <c r="F33" s="13" t="s">
        <v>258</v>
      </c>
      <c r="G33" s="52">
        <v>18600</v>
      </c>
    </row>
    <row r="34" spans="1:7" x14ac:dyDescent="0.25">
      <c r="A34" s="13" t="s">
        <v>338</v>
      </c>
      <c r="B34" s="55">
        <v>46254</v>
      </c>
      <c r="C34" s="41">
        <v>0.37912037037037039</v>
      </c>
      <c r="D34" s="13" t="s">
        <v>320</v>
      </c>
      <c r="E34" s="54" t="s">
        <v>305</v>
      </c>
      <c r="F34" s="13" t="s">
        <v>258</v>
      </c>
      <c r="G34" s="52">
        <v>6990</v>
      </c>
    </row>
    <row r="35" spans="1:7" x14ac:dyDescent="0.25">
      <c r="A35" s="13" t="s">
        <v>339</v>
      </c>
      <c r="B35" s="55">
        <v>46254</v>
      </c>
      <c r="C35" s="41">
        <v>0.37912037037037039</v>
      </c>
      <c r="D35" s="13" t="s">
        <v>320</v>
      </c>
      <c r="E35" s="54" t="s">
        <v>304</v>
      </c>
      <c r="F35" s="13" t="s">
        <v>258</v>
      </c>
      <c r="G35" s="52">
        <v>6600</v>
      </c>
    </row>
    <row r="36" spans="1:7" x14ac:dyDescent="0.25">
      <c r="A36" s="13" t="s">
        <v>340</v>
      </c>
      <c r="B36" s="53">
        <v>46256</v>
      </c>
      <c r="C36" s="41">
        <v>0.37912037037037039</v>
      </c>
      <c r="D36" s="13" t="s">
        <v>271</v>
      </c>
      <c r="E36" s="54" t="s">
        <v>303</v>
      </c>
      <c r="F36" s="13" t="s">
        <v>258</v>
      </c>
      <c r="G36" s="52">
        <v>5990</v>
      </c>
    </row>
    <row r="37" spans="1:7" x14ac:dyDescent="0.25">
      <c r="A37" s="13" t="s">
        <v>341</v>
      </c>
      <c r="B37" s="53">
        <v>46256</v>
      </c>
      <c r="C37" s="41">
        <v>0.37912037037037039</v>
      </c>
      <c r="D37" s="13" t="s">
        <v>320</v>
      </c>
      <c r="E37" s="54" t="s">
        <v>306</v>
      </c>
      <c r="F37" s="13" t="s">
        <v>258</v>
      </c>
      <c r="G37" s="52">
        <v>6300</v>
      </c>
    </row>
    <row r="38" spans="1:7" x14ac:dyDescent="0.25">
      <c r="A38" s="13" t="s">
        <v>342</v>
      </c>
      <c r="B38" s="53">
        <v>46256</v>
      </c>
      <c r="C38" s="41">
        <v>0.37912037037037039</v>
      </c>
      <c r="D38" s="13" t="s">
        <v>320</v>
      </c>
      <c r="E38" s="54" t="s">
        <v>313</v>
      </c>
      <c r="F38" s="13" t="s">
        <v>258</v>
      </c>
      <c r="G38" s="52">
        <v>5600</v>
      </c>
    </row>
    <row r="39" spans="1:7" x14ac:dyDescent="0.25">
      <c r="A39" s="13" t="s">
        <v>343</v>
      </c>
      <c r="B39" s="53">
        <v>46256</v>
      </c>
      <c r="C39" s="41">
        <v>0.37912037037037039</v>
      </c>
      <c r="D39" s="13" t="s">
        <v>320</v>
      </c>
      <c r="E39" s="54" t="s">
        <v>314</v>
      </c>
      <c r="F39" s="13" t="s">
        <v>258</v>
      </c>
      <c r="G39" s="52">
        <v>10675</v>
      </c>
    </row>
    <row r="40" spans="1:7" x14ac:dyDescent="0.25">
      <c r="A40" s="13" t="s">
        <v>344</v>
      </c>
      <c r="B40" s="53">
        <v>46256</v>
      </c>
      <c r="C40" s="41">
        <v>0.37912037037037039</v>
      </c>
      <c r="D40" s="13" t="s">
        <v>320</v>
      </c>
      <c r="E40" s="54" t="s">
        <v>304</v>
      </c>
      <c r="F40" s="13" t="s">
        <v>258</v>
      </c>
      <c r="G40" s="52">
        <v>6600</v>
      </c>
    </row>
    <row r="41" spans="1:7" x14ac:dyDescent="0.25">
      <c r="A41" s="13" t="s">
        <v>345</v>
      </c>
      <c r="B41" s="53">
        <v>46260</v>
      </c>
      <c r="C41" s="41">
        <v>0.37912037037037039</v>
      </c>
      <c r="D41" s="13" t="s">
        <v>320</v>
      </c>
      <c r="E41" s="54" t="s">
        <v>311</v>
      </c>
      <c r="F41" s="13" t="s">
        <v>258</v>
      </c>
      <c r="G41" s="52">
        <v>22000</v>
      </c>
    </row>
    <row r="42" spans="1:7" x14ac:dyDescent="0.25">
      <c r="A42" s="13" t="s">
        <v>346</v>
      </c>
      <c r="B42" s="53">
        <v>46260</v>
      </c>
      <c r="C42" s="41">
        <v>0.37912037037037039</v>
      </c>
      <c r="D42" s="13" t="s">
        <v>320</v>
      </c>
      <c r="E42" s="54" t="s">
        <v>310</v>
      </c>
      <c r="F42" s="13" t="s">
        <v>258</v>
      </c>
      <c r="G42" s="52">
        <v>7995</v>
      </c>
    </row>
    <row r="43" spans="1:7" x14ac:dyDescent="0.25">
      <c r="A43" s="13" t="s">
        <v>347</v>
      </c>
      <c r="B43" s="53">
        <v>46260</v>
      </c>
      <c r="C43" s="41">
        <v>0.37912037037037039</v>
      </c>
      <c r="D43" s="13" t="s">
        <v>320</v>
      </c>
      <c r="E43" s="54" t="s">
        <v>313</v>
      </c>
      <c r="F43" s="13" t="s">
        <v>258</v>
      </c>
      <c r="G43" s="52">
        <v>5600</v>
      </c>
    </row>
    <row r="44" spans="1:7" x14ac:dyDescent="0.25">
      <c r="A44" s="13" t="s">
        <v>348</v>
      </c>
      <c r="B44" s="53">
        <v>46260</v>
      </c>
      <c r="C44" s="41">
        <v>0.37912037037037039</v>
      </c>
      <c r="D44" s="13" t="s">
        <v>320</v>
      </c>
      <c r="E44" s="54" t="s">
        <v>314</v>
      </c>
      <c r="F44" s="13" t="s">
        <v>258</v>
      </c>
      <c r="G44" s="52">
        <v>13650</v>
      </c>
    </row>
    <row r="45" spans="1:7" x14ac:dyDescent="0.25">
      <c r="A45" s="13" t="s">
        <v>349</v>
      </c>
      <c r="B45" s="53">
        <v>46260</v>
      </c>
      <c r="C45" s="41">
        <v>0.37912037037037039</v>
      </c>
      <c r="D45" s="13" t="s">
        <v>320</v>
      </c>
      <c r="E45" s="54" t="s">
        <v>317</v>
      </c>
      <c r="F45" s="13" t="s">
        <v>258</v>
      </c>
      <c r="G45" s="52">
        <v>3200</v>
      </c>
    </row>
    <row r="46" spans="1:7" x14ac:dyDescent="0.25">
      <c r="A46" s="13" t="s">
        <v>350</v>
      </c>
      <c r="B46" s="55">
        <v>46260</v>
      </c>
      <c r="C46" s="41">
        <v>0.37912037037037039</v>
      </c>
      <c r="D46" s="13" t="s">
        <v>320</v>
      </c>
      <c r="E46" s="54" t="s">
        <v>318</v>
      </c>
      <c r="F46" s="13" t="s">
        <v>258</v>
      </c>
      <c r="G46" s="52">
        <v>14620</v>
      </c>
    </row>
    <row r="47" spans="1:7" x14ac:dyDescent="0.25">
      <c r="A47" s="13" t="s">
        <v>351</v>
      </c>
      <c r="B47" s="55">
        <v>46260</v>
      </c>
      <c r="C47" s="41">
        <v>0.37912037037037039</v>
      </c>
      <c r="D47" s="13" t="s">
        <v>320</v>
      </c>
      <c r="E47" s="54" t="s">
        <v>306</v>
      </c>
      <c r="F47" s="13" t="s">
        <v>258</v>
      </c>
      <c r="G47" s="52">
        <v>6300</v>
      </c>
    </row>
    <row r="48" spans="1:7" x14ac:dyDescent="0.25">
      <c r="A48" s="13" t="s">
        <v>352</v>
      </c>
      <c r="B48" s="53">
        <v>46261</v>
      </c>
      <c r="C48" s="41">
        <v>0.37912037037037039</v>
      </c>
      <c r="D48" s="13" t="s">
        <v>257</v>
      </c>
      <c r="E48" s="54" t="s">
        <v>275</v>
      </c>
      <c r="F48" s="13" t="s">
        <v>258</v>
      </c>
      <c r="G48" s="52">
        <v>10000</v>
      </c>
    </row>
    <row r="49" spans="1:10" x14ac:dyDescent="0.25">
      <c r="A49" s="13" t="s">
        <v>353</v>
      </c>
      <c r="B49" s="53">
        <v>46261</v>
      </c>
      <c r="C49" s="41">
        <v>0.37912037037037039</v>
      </c>
      <c r="D49" s="13" t="s">
        <v>257</v>
      </c>
      <c r="E49" s="54" t="s">
        <v>278</v>
      </c>
      <c r="F49" s="13" t="s">
        <v>258</v>
      </c>
      <c r="G49" s="52">
        <v>21200</v>
      </c>
    </row>
    <row r="50" spans="1:10" x14ac:dyDescent="0.25">
      <c r="A50" s="13" t="s">
        <v>354</v>
      </c>
      <c r="B50" s="53">
        <v>46262</v>
      </c>
      <c r="C50" s="41">
        <v>0.37912037037037039</v>
      </c>
      <c r="D50" s="13" t="s">
        <v>320</v>
      </c>
      <c r="E50" s="54" t="s">
        <v>319</v>
      </c>
      <c r="F50" s="13" t="s">
        <v>258</v>
      </c>
      <c r="G50" s="52">
        <v>9000</v>
      </c>
    </row>
    <row r="51" spans="1:10" x14ac:dyDescent="0.25">
      <c r="A51" s="13" t="s">
        <v>355</v>
      </c>
      <c r="B51" s="53">
        <v>46263</v>
      </c>
      <c r="C51" s="41">
        <v>0.37912037037037039</v>
      </c>
      <c r="D51" s="13" t="s">
        <v>263</v>
      </c>
      <c r="E51" s="13" t="s">
        <v>279</v>
      </c>
      <c r="F51" s="13" t="s">
        <v>281</v>
      </c>
      <c r="G51" s="52">
        <v>68000</v>
      </c>
    </row>
    <row r="52" spans="1:10" x14ac:dyDescent="0.25">
      <c r="A52" s="13" t="s">
        <v>356</v>
      </c>
      <c r="B52" s="53">
        <v>46263</v>
      </c>
      <c r="C52" s="41">
        <v>0.37912037037037039</v>
      </c>
      <c r="D52" s="13" t="s">
        <v>263</v>
      </c>
      <c r="E52" s="13" t="s">
        <v>280</v>
      </c>
      <c r="F52" s="13" t="s">
        <v>281</v>
      </c>
      <c r="G52" s="52">
        <v>38000</v>
      </c>
    </row>
    <row r="53" spans="1:10" x14ac:dyDescent="0.25">
      <c r="A53" s="13" t="s">
        <v>357</v>
      </c>
      <c r="B53" s="53">
        <v>46263</v>
      </c>
      <c r="C53" s="41">
        <v>0.37912037037037039</v>
      </c>
      <c r="D53" s="13" t="s">
        <v>271</v>
      </c>
      <c r="E53" s="54" t="s">
        <v>303</v>
      </c>
      <c r="F53" s="13" t="s">
        <v>258</v>
      </c>
      <c r="G53" s="52">
        <v>1750</v>
      </c>
    </row>
    <row r="54" spans="1:10" x14ac:dyDescent="0.25">
      <c r="A54" s="13" t="s">
        <v>358</v>
      </c>
      <c r="B54" s="53">
        <v>46263</v>
      </c>
      <c r="C54" s="41">
        <v>0.37912037037037039</v>
      </c>
      <c r="D54" s="13" t="s">
        <v>320</v>
      </c>
      <c r="E54" s="54" t="s">
        <v>306</v>
      </c>
      <c r="F54" s="13" t="s">
        <v>258</v>
      </c>
      <c r="G54" s="52">
        <v>8400</v>
      </c>
    </row>
    <row r="55" spans="1:10" x14ac:dyDescent="0.25">
      <c r="A55" s="13" t="s">
        <v>359</v>
      </c>
      <c r="B55" s="53">
        <v>46263</v>
      </c>
      <c r="C55" s="41">
        <v>0.37912037037037039</v>
      </c>
      <c r="D55" s="13" t="s">
        <v>320</v>
      </c>
      <c r="E55" s="54" t="s">
        <v>313</v>
      </c>
      <c r="F55" s="13" t="s">
        <v>258</v>
      </c>
      <c r="G55" s="52">
        <v>5600</v>
      </c>
    </row>
    <row r="56" spans="1:10" x14ac:dyDescent="0.25">
      <c r="A56" s="13" t="s">
        <v>360</v>
      </c>
      <c r="B56" s="53">
        <v>46263</v>
      </c>
      <c r="C56" s="41">
        <v>0.37912037037037039</v>
      </c>
      <c r="D56" s="13" t="s">
        <v>320</v>
      </c>
      <c r="E56" s="54" t="s">
        <v>307</v>
      </c>
      <c r="F56" s="13" t="s">
        <v>258</v>
      </c>
      <c r="G56" s="52">
        <v>8000</v>
      </c>
    </row>
    <row r="57" spans="1:10" x14ac:dyDescent="0.25">
      <c r="A57" s="13" t="s">
        <v>361</v>
      </c>
      <c r="B57" s="53">
        <v>46263</v>
      </c>
      <c r="C57" s="41">
        <v>0.37912037037037039</v>
      </c>
      <c r="D57" s="13" t="s">
        <v>320</v>
      </c>
      <c r="E57" s="54" t="s">
        <v>311</v>
      </c>
      <c r="F57" s="13" t="s">
        <v>258</v>
      </c>
      <c r="G57" s="52">
        <v>11200</v>
      </c>
    </row>
    <row r="58" spans="1:10" x14ac:dyDescent="0.25">
      <c r="A58" s="13" t="s">
        <v>362</v>
      </c>
      <c r="B58" s="55">
        <v>46263</v>
      </c>
      <c r="C58" s="41">
        <v>0.37912037037037039</v>
      </c>
      <c r="D58" s="13" t="s">
        <v>320</v>
      </c>
      <c r="E58" s="54" t="s">
        <v>314</v>
      </c>
      <c r="F58" s="13" t="s">
        <v>258</v>
      </c>
      <c r="G58" s="52">
        <v>11000</v>
      </c>
    </row>
    <row r="59" spans="1:10" x14ac:dyDescent="0.25">
      <c r="A59" s="13" t="s">
        <v>382</v>
      </c>
      <c r="B59" s="53" t="s">
        <v>378</v>
      </c>
      <c r="C59" s="41">
        <v>0.37912037037037039</v>
      </c>
      <c r="D59" s="13" t="s">
        <v>271</v>
      </c>
      <c r="E59" s="54" t="s">
        <v>363</v>
      </c>
      <c r="F59" s="13" t="s">
        <v>258</v>
      </c>
      <c r="G59" s="52">
        <v>11200</v>
      </c>
    </row>
    <row r="60" spans="1:10" x14ac:dyDescent="0.25">
      <c r="A60" s="13" t="s">
        <v>383</v>
      </c>
      <c r="B60" s="51" t="s">
        <v>378</v>
      </c>
      <c r="C60" s="41">
        <v>0.37912037037037039</v>
      </c>
      <c r="D60" s="13" t="s">
        <v>271</v>
      </c>
      <c r="E60" s="54" t="s">
        <v>364</v>
      </c>
      <c r="F60" s="13" t="s">
        <v>258</v>
      </c>
      <c r="G60" s="52">
        <v>1400</v>
      </c>
    </row>
    <row r="61" spans="1:10" x14ac:dyDescent="0.25">
      <c r="A61" s="13" t="s">
        <v>384</v>
      </c>
      <c r="B61" s="53" t="s">
        <v>378</v>
      </c>
      <c r="C61" s="41">
        <v>0.37912037037037039</v>
      </c>
      <c r="D61" s="13" t="s">
        <v>271</v>
      </c>
      <c r="E61" s="54" t="s">
        <v>365</v>
      </c>
      <c r="F61" s="13" t="s">
        <v>258</v>
      </c>
      <c r="G61" s="52">
        <v>6328</v>
      </c>
    </row>
    <row r="62" spans="1:10" x14ac:dyDescent="0.25">
      <c r="A62" s="13" t="s">
        <v>385</v>
      </c>
      <c r="B62" s="51" t="s">
        <v>378</v>
      </c>
      <c r="C62" s="41">
        <v>0.37912037037037039</v>
      </c>
      <c r="D62" s="13" t="s">
        <v>271</v>
      </c>
      <c r="E62" s="54" t="s">
        <v>366</v>
      </c>
      <c r="F62" s="13" t="s">
        <v>258</v>
      </c>
      <c r="G62" s="52">
        <v>20020</v>
      </c>
      <c r="J62" t="s">
        <v>139</v>
      </c>
    </row>
    <row r="63" spans="1:10" x14ac:dyDescent="0.25">
      <c r="A63" s="13" t="s">
        <v>386</v>
      </c>
      <c r="B63" s="53" t="s">
        <v>378</v>
      </c>
      <c r="C63" s="41">
        <v>0.37912037037037039</v>
      </c>
      <c r="D63" s="13" t="s">
        <v>271</v>
      </c>
      <c r="E63" s="54" t="s">
        <v>367</v>
      </c>
      <c r="F63" s="13" t="s">
        <v>258</v>
      </c>
      <c r="G63" s="52">
        <v>6400</v>
      </c>
      <c r="J63" t="s">
        <v>259</v>
      </c>
    </row>
    <row r="64" spans="1:10" x14ac:dyDescent="0.25">
      <c r="A64" s="13" t="s">
        <v>387</v>
      </c>
      <c r="B64" s="51" t="s">
        <v>378</v>
      </c>
      <c r="C64" s="41">
        <v>0.37912037037037039</v>
      </c>
      <c r="D64" s="13" t="s">
        <v>271</v>
      </c>
      <c r="E64" s="54" t="s">
        <v>368</v>
      </c>
      <c r="F64" s="13" t="s">
        <v>258</v>
      </c>
      <c r="G64" s="52">
        <v>4200</v>
      </c>
      <c r="J64" t="s">
        <v>260</v>
      </c>
    </row>
    <row r="65" spans="1:18" x14ac:dyDescent="0.25">
      <c r="A65" s="13" t="s">
        <v>388</v>
      </c>
      <c r="B65" s="53" t="s">
        <v>379</v>
      </c>
      <c r="C65" s="41">
        <v>0.37912037037037039</v>
      </c>
      <c r="D65" s="13" t="s">
        <v>271</v>
      </c>
      <c r="E65" s="54" t="s">
        <v>369</v>
      </c>
      <c r="F65" s="13" t="s">
        <v>258</v>
      </c>
      <c r="G65" s="52">
        <v>6990</v>
      </c>
      <c r="J65" t="s">
        <v>261</v>
      </c>
    </row>
    <row r="66" spans="1:18" x14ac:dyDescent="0.25">
      <c r="A66" s="13" t="s">
        <v>389</v>
      </c>
      <c r="B66" s="51" t="s">
        <v>379</v>
      </c>
      <c r="C66" s="41">
        <v>0.37912037037037039</v>
      </c>
      <c r="D66" s="13" t="s">
        <v>271</v>
      </c>
      <c r="E66" s="54" t="s">
        <v>304</v>
      </c>
      <c r="F66" s="13" t="s">
        <v>258</v>
      </c>
      <c r="G66" s="52">
        <v>6600</v>
      </c>
      <c r="J66" t="s">
        <v>262</v>
      </c>
    </row>
    <row r="67" spans="1:18" x14ac:dyDescent="0.25">
      <c r="A67" s="13" t="s">
        <v>390</v>
      </c>
      <c r="B67" s="53" t="s">
        <v>379</v>
      </c>
      <c r="C67" s="41">
        <v>0.37912037037037039</v>
      </c>
      <c r="D67" s="13" t="s">
        <v>271</v>
      </c>
      <c r="E67" s="54" t="s">
        <v>368</v>
      </c>
      <c r="F67" s="13" t="s">
        <v>258</v>
      </c>
      <c r="G67" s="52">
        <v>4200</v>
      </c>
      <c r="J67" t="s">
        <v>263</v>
      </c>
    </row>
    <row r="68" spans="1:18" x14ac:dyDescent="0.25">
      <c r="A68" s="13" t="s">
        <v>391</v>
      </c>
      <c r="B68" s="51" t="s">
        <v>380</v>
      </c>
      <c r="C68" s="41">
        <v>0.37912037037037039</v>
      </c>
      <c r="D68" s="13" t="s">
        <v>271</v>
      </c>
      <c r="E68" s="54" t="s">
        <v>370</v>
      </c>
      <c r="F68" s="13" t="s">
        <v>258</v>
      </c>
      <c r="G68" s="52">
        <v>8400</v>
      </c>
      <c r="J68" t="s">
        <v>264</v>
      </c>
    </row>
    <row r="69" spans="1:18" x14ac:dyDescent="0.25">
      <c r="A69" s="13" t="s">
        <v>392</v>
      </c>
      <c r="B69" s="53" t="s">
        <v>380</v>
      </c>
      <c r="C69" s="41">
        <v>0.37912037037037039</v>
      </c>
      <c r="D69" s="13" t="s">
        <v>271</v>
      </c>
      <c r="E69" s="54" t="s">
        <v>371</v>
      </c>
      <c r="F69" s="13" t="s">
        <v>258</v>
      </c>
      <c r="G69" s="52">
        <v>12180</v>
      </c>
      <c r="J69" t="s">
        <v>257</v>
      </c>
    </row>
    <row r="70" spans="1:18" x14ac:dyDescent="0.25">
      <c r="A70" s="13" t="s">
        <v>393</v>
      </c>
      <c r="B70" s="51" t="s">
        <v>380</v>
      </c>
      <c r="C70" s="41">
        <v>0.37912037037037039</v>
      </c>
      <c r="D70" s="13" t="s">
        <v>271</v>
      </c>
      <c r="E70" s="54" t="s">
        <v>372</v>
      </c>
      <c r="F70" s="13" t="s">
        <v>258</v>
      </c>
      <c r="G70" s="52">
        <v>12180</v>
      </c>
      <c r="J70" t="s">
        <v>265</v>
      </c>
    </row>
    <row r="71" spans="1:18" x14ac:dyDescent="0.25">
      <c r="A71" s="13" t="s">
        <v>394</v>
      </c>
      <c r="B71" s="53" t="s">
        <v>380</v>
      </c>
      <c r="C71" s="41">
        <v>0.37912037037037039</v>
      </c>
      <c r="D71" s="13" t="s">
        <v>271</v>
      </c>
      <c r="E71" s="54" t="s">
        <v>373</v>
      </c>
      <c r="F71" s="13" t="s">
        <v>258</v>
      </c>
      <c r="G71" s="52">
        <v>11200</v>
      </c>
      <c r="J71" t="s">
        <v>266</v>
      </c>
    </row>
    <row r="72" spans="1:18" x14ac:dyDescent="0.25">
      <c r="A72" s="13" t="s">
        <v>395</v>
      </c>
      <c r="B72" s="51" t="s">
        <v>380</v>
      </c>
      <c r="C72" s="41">
        <v>0.37912037037037039</v>
      </c>
      <c r="D72" s="13" t="s">
        <v>271</v>
      </c>
      <c r="E72" s="54" t="s">
        <v>275</v>
      </c>
      <c r="F72" s="13" t="s">
        <v>258</v>
      </c>
      <c r="G72" s="52">
        <v>200</v>
      </c>
      <c r="J72" t="s">
        <v>267</v>
      </c>
    </row>
    <row r="73" spans="1:18" x14ac:dyDescent="0.25">
      <c r="A73" s="13" t="s">
        <v>396</v>
      </c>
      <c r="B73" s="53" t="s">
        <v>380</v>
      </c>
      <c r="C73" s="41">
        <v>0.37912037037037039</v>
      </c>
      <c r="D73" s="13" t="s">
        <v>320</v>
      </c>
      <c r="E73" s="54" t="s">
        <v>304</v>
      </c>
      <c r="F73" s="13" t="s">
        <v>258</v>
      </c>
      <c r="G73" s="52">
        <v>6600</v>
      </c>
      <c r="J73" t="s">
        <v>268</v>
      </c>
    </row>
    <row r="74" spans="1:18" x14ac:dyDescent="0.25">
      <c r="A74" s="13" t="s">
        <v>397</v>
      </c>
      <c r="B74" s="56" t="s">
        <v>380</v>
      </c>
      <c r="C74" s="41">
        <v>0.37912037037037039</v>
      </c>
      <c r="D74" s="13" t="s">
        <v>320</v>
      </c>
      <c r="E74" s="54" t="s">
        <v>368</v>
      </c>
      <c r="F74" s="13" t="s">
        <v>258</v>
      </c>
      <c r="G74" s="52">
        <v>8400</v>
      </c>
      <c r="J74" t="s">
        <v>269</v>
      </c>
    </row>
    <row r="75" spans="1:18" x14ac:dyDescent="0.25">
      <c r="A75" s="13" t="s">
        <v>398</v>
      </c>
      <c r="B75" s="53" t="s">
        <v>380</v>
      </c>
      <c r="C75" s="41">
        <v>0.37912037037037039</v>
      </c>
      <c r="D75" s="13" t="s">
        <v>320</v>
      </c>
      <c r="E75" s="54" t="s">
        <v>374</v>
      </c>
      <c r="F75" s="13" t="s">
        <v>258</v>
      </c>
      <c r="G75" s="52">
        <v>3350</v>
      </c>
      <c r="J75" t="s">
        <v>270</v>
      </c>
    </row>
    <row r="76" spans="1:18" x14ac:dyDescent="0.25">
      <c r="A76" s="13" t="s">
        <v>399</v>
      </c>
      <c r="B76" s="51" t="s">
        <v>381</v>
      </c>
      <c r="C76" s="41">
        <v>0.37912037037037039</v>
      </c>
      <c r="D76" s="13" t="s">
        <v>320</v>
      </c>
      <c r="E76" s="54" t="s">
        <v>365</v>
      </c>
      <c r="F76" s="13" t="s">
        <v>258</v>
      </c>
      <c r="G76" s="52">
        <v>3740</v>
      </c>
      <c r="P76" t="s">
        <v>298</v>
      </c>
      <c r="Q76" t="s">
        <v>299</v>
      </c>
      <c r="R76" t="s">
        <v>297</v>
      </c>
    </row>
    <row r="77" spans="1:18" x14ac:dyDescent="0.25">
      <c r="A77" s="13" t="s">
        <v>400</v>
      </c>
      <c r="B77" s="53" t="s">
        <v>381</v>
      </c>
      <c r="C77" s="41">
        <v>0.37912037037037039</v>
      </c>
      <c r="D77" s="13" t="s">
        <v>320</v>
      </c>
      <c r="E77" s="54" t="s">
        <v>375</v>
      </c>
      <c r="F77" s="13" t="s">
        <v>258</v>
      </c>
      <c r="G77" s="52">
        <v>600</v>
      </c>
      <c r="J77">
        <v>57</v>
      </c>
      <c r="K77">
        <v>1</v>
      </c>
      <c r="L77" t="s">
        <v>186</v>
      </c>
      <c r="M77" t="s">
        <v>187</v>
      </c>
      <c r="N77">
        <v>1</v>
      </c>
      <c r="O77">
        <v>3000</v>
      </c>
      <c r="P77">
        <v>3000</v>
      </c>
      <c r="Q77">
        <v>700</v>
      </c>
      <c r="R77">
        <f>+Q77*N77</f>
        <v>700</v>
      </c>
    </row>
    <row r="78" spans="1:18" x14ac:dyDescent="0.25">
      <c r="A78" s="13" t="s">
        <v>401</v>
      </c>
      <c r="B78" s="51" t="s">
        <v>381</v>
      </c>
      <c r="C78" s="41">
        <v>0.37912037037037039</v>
      </c>
      <c r="D78" s="13" t="s">
        <v>320</v>
      </c>
      <c r="E78" s="54" t="s">
        <v>376</v>
      </c>
      <c r="F78" s="13" t="s">
        <v>258</v>
      </c>
      <c r="G78" s="52">
        <v>792</v>
      </c>
      <c r="J78">
        <v>57</v>
      </c>
      <c r="K78">
        <v>2</v>
      </c>
      <c r="L78" t="s">
        <v>186</v>
      </c>
      <c r="M78" t="s">
        <v>187</v>
      </c>
      <c r="N78">
        <v>1</v>
      </c>
      <c r="O78">
        <v>3000</v>
      </c>
      <c r="P78">
        <v>3000</v>
      </c>
      <c r="Q78">
        <v>700</v>
      </c>
      <c r="R78">
        <f>+Q78*N78</f>
        <v>700</v>
      </c>
    </row>
    <row r="79" spans="1:18" x14ac:dyDescent="0.25">
      <c r="A79" s="13" t="s">
        <v>402</v>
      </c>
      <c r="B79" s="53" t="s">
        <v>381</v>
      </c>
      <c r="C79" s="41">
        <v>0.37912037037037039</v>
      </c>
      <c r="D79" s="13" t="s">
        <v>320</v>
      </c>
      <c r="E79" s="54" t="s">
        <v>377</v>
      </c>
      <c r="F79" s="13" t="s">
        <v>258</v>
      </c>
      <c r="G79" s="52">
        <v>3536</v>
      </c>
      <c r="J79">
        <v>57</v>
      </c>
      <c r="K79">
        <v>3</v>
      </c>
      <c r="L79" t="s">
        <v>110</v>
      </c>
      <c r="M79" t="s">
        <v>115</v>
      </c>
      <c r="N79">
        <v>1</v>
      </c>
      <c r="O79">
        <v>6000</v>
      </c>
      <c r="P79">
        <v>6000</v>
      </c>
      <c r="Q79">
        <v>1000</v>
      </c>
      <c r="R79">
        <f>+Q79*N79</f>
        <v>1000</v>
      </c>
    </row>
    <row r="80" spans="1:18" x14ac:dyDescent="0.25">
      <c r="A80" s="13" t="s">
        <v>408</v>
      </c>
      <c r="B80" s="51" t="s">
        <v>406</v>
      </c>
      <c r="C80" s="41">
        <v>0.37912037037037039</v>
      </c>
      <c r="D80" s="13" t="s">
        <v>271</v>
      </c>
      <c r="E80" s="54" t="s">
        <v>364</v>
      </c>
      <c r="F80" s="13" t="s">
        <v>258</v>
      </c>
      <c r="G80" s="52">
        <v>1428</v>
      </c>
      <c r="J80">
        <v>57</v>
      </c>
      <c r="K80">
        <v>4</v>
      </c>
      <c r="L80" t="s">
        <v>28</v>
      </c>
      <c r="M80" t="s">
        <v>107</v>
      </c>
      <c r="N80">
        <v>1</v>
      </c>
      <c r="O80">
        <v>6000</v>
      </c>
      <c r="P80">
        <v>6000</v>
      </c>
      <c r="Q80">
        <v>3000</v>
      </c>
      <c r="R80">
        <f>+N80*Q80</f>
        <v>3000</v>
      </c>
    </row>
    <row r="81" spans="1:18" x14ac:dyDescent="0.25">
      <c r="A81" s="13" t="s">
        <v>409</v>
      </c>
      <c r="B81" s="53" t="s">
        <v>406</v>
      </c>
      <c r="C81" s="41">
        <v>0.37912037037037039</v>
      </c>
      <c r="D81" s="13" t="s">
        <v>271</v>
      </c>
      <c r="E81" s="54" t="s">
        <v>418</v>
      </c>
      <c r="F81" s="13" t="s">
        <v>258</v>
      </c>
      <c r="G81" s="52">
        <v>1080</v>
      </c>
      <c r="J81">
        <v>58</v>
      </c>
      <c r="K81">
        <v>1</v>
      </c>
      <c r="L81" t="s">
        <v>65</v>
      </c>
      <c r="M81" t="s">
        <v>16</v>
      </c>
      <c r="N81">
        <v>1</v>
      </c>
      <c r="O81">
        <v>10000</v>
      </c>
      <c r="P81">
        <v>10000</v>
      </c>
      <c r="Q81">
        <v>5000</v>
      </c>
      <c r="R81">
        <f>+N81*Q81</f>
        <v>5000</v>
      </c>
    </row>
    <row r="82" spans="1:18" x14ac:dyDescent="0.25">
      <c r="A82" s="13" t="s">
        <v>410</v>
      </c>
      <c r="B82" s="51" t="s">
        <v>406</v>
      </c>
      <c r="C82" s="41">
        <v>0.37912037037037039</v>
      </c>
      <c r="D82" s="13" t="s">
        <v>271</v>
      </c>
      <c r="E82" s="54" t="s">
        <v>419</v>
      </c>
      <c r="F82" s="13" t="s">
        <v>258</v>
      </c>
      <c r="G82" s="52">
        <v>22100</v>
      </c>
      <c r="J82">
        <v>58</v>
      </c>
      <c r="K82">
        <v>2</v>
      </c>
      <c r="L82" t="s">
        <v>28</v>
      </c>
      <c r="M82" t="s">
        <v>107</v>
      </c>
      <c r="N82">
        <v>1</v>
      </c>
      <c r="O82">
        <v>6000</v>
      </c>
      <c r="P82">
        <v>6000</v>
      </c>
      <c r="Q82">
        <v>3000</v>
      </c>
      <c r="R82">
        <f>+N82*Q82</f>
        <v>3000</v>
      </c>
    </row>
    <row r="83" spans="1:18" x14ac:dyDescent="0.25">
      <c r="A83" s="13" t="s">
        <v>411</v>
      </c>
      <c r="B83" s="53" t="s">
        <v>406</v>
      </c>
      <c r="C83" s="41">
        <v>0.37912037037037039</v>
      </c>
      <c r="D83" s="13" t="s">
        <v>271</v>
      </c>
      <c r="E83" s="54" t="s">
        <v>420</v>
      </c>
      <c r="F83" s="13" t="s">
        <v>258</v>
      </c>
      <c r="G83" s="52">
        <v>2496</v>
      </c>
      <c r="J83">
        <v>59</v>
      </c>
      <c r="K83">
        <v>1</v>
      </c>
      <c r="L83" t="s">
        <v>28</v>
      </c>
      <c r="M83" t="s">
        <v>107</v>
      </c>
      <c r="N83">
        <v>10</v>
      </c>
      <c r="O83">
        <v>6000</v>
      </c>
      <c r="P83">
        <v>60000</v>
      </c>
      <c r="Q83">
        <v>3000</v>
      </c>
      <c r="R83">
        <f>+N83*Q83</f>
        <v>30000</v>
      </c>
    </row>
    <row r="84" spans="1:18" x14ac:dyDescent="0.25">
      <c r="A84" s="13" t="s">
        <v>412</v>
      </c>
      <c r="B84" s="51" t="s">
        <v>406</v>
      </c>
      <c r="C84" s="41">
        <v>0.37912037037037039</v>
      </c>
      <c r="D84" s="13" t="s">
        <v>271</v>
      </c>
      <c r="E84" s="54" t="s">
        <v>365</v>
      </c>
      <c r="F84" s="13" t="s">
        <v>258</v>
      </c>
      <c r="G84" s="52">
        <v>4400</v>
      </c>
      <c r="P84">
        <f>SUM(P77:P83)</f>
        <v>94000</v>
      </c>
      <c r="R84">
        <f>SUM(R77:R83)</f>
        <v>43400</v>
      </c>
    </row>
    <row r="85" spans="1:18" x14ac:dyDescent="0.25">
      <c r="A85" s="13" t="s">
        <v>413</v>
      </c>
      <c r="B85" s="53" t="s">
        <v>406</v>
      </c>
      <c r="C85" s="41">
        <v>0.37912037037037039</v>
      </c>
      <c r="D85" s="13" t="s">
        <v>271</v>
      </c>
      <c r="E85" s="54" t="s">
        <v>421</v>
      </c>
      <c r="F85" s="13" t="s">
        <v>258</v>
      </c>
      <c r="G85" s="52">
        <v>33500</v>
      </c>
    </row>
    <row r="86" spans="1:18" x14ac:dyDescent="0.25">
      <c r="A86" s="13" t="s">
        <v>414</v>
      </c>
      <c r="B86" s="51" t="s">
        <v>406</v>
      </c>
      <c r="C86" s="41">
        <v>0.37912037037037039</v>
      </c>
      <c r="D86" s="13" t="s">
        <v>320</v>
      </c>
      <c r="E86" s="54" t="s">
        <v>422</v>
      </c>
      <c r="F86" s="13" t="s">
        <v>258</v>
      </c>
      <c r="G86" s="52">
        <v>42200</v>
      </c>
    </row>
    <row r="87" spans="1:18" x14ac:dyDescent="0.25">
      <c r="A87" s="13" t="s">
        <v>415</v>
      </c>
      <c r="B87" s="53" t="s">
        <v>407</v>
      </c>
      <c r="C87" s="41">
        <v>0.37912037037037039</v>
      </c>
      <c r="D87" s="13" t="s">
        <v>271</v>
      </c>
      <c r="E87" s="54" t="s">
        <v>423</v>
      </c>
      <c r="F87" s="13" t="s">
        <v>258</v>
      </c>
      <c r="G87" s="52">
        <v>6450</v>
      </c>
    </row>
    <row r="88" spans="1:18" x14ac:dyDescent="0.25">
      <c r="A88" s="13" t="s">
        <v>416</v>
      </c>
      <c r="B88" s="56" t="s">
        <v>407</v>
      </c>
      <c r="C88" s="41">
        <v>0.37912037037037039</v>
      </c>
      <c r="D88" s="13" t="s">
        <v>271</v>
      </c>
      <c r="E88" s="54" t="s">
        <v>372</v>
      </c>
      <c r="F88" s="13" t="s">
        <v>258</v>
      </c>
      <c r="G88" s="52">
        <v>10570</v>
      </c>
    </row>
    <row r="89" spans="1:18" x14ac:dyDescent="0.25">
      <c r="A89" s="13" t="s">
        <v>417</v>
      </c>
      <c r="B89" s="53" t="s">
        <v>406</v>
      </c>
      <c r="C89" s="41">
        <v>0.37912037037037039</v>
      </c>
      <c r="D89" s="13" t="s">
        <v>320</v>
      </c>
      <c r="E89" s="54" t="s">
        <v>424</v>
      </c>
      <c r="F89" s="13" t="s">
        <v>258</v>
      </c>
      <c r="G89" s="52">
        <v>71507</v>
      </c>
    </row>
    <row r="90" spans="1:18" x14ac:dyDescent="0.25">
      <c r="A90" s="13" t="s">
        <v>555</v>
      </c>
      <c r="B90" s="51">
        <v>46284</v>
      </c>
      <c r="C90" s="41">
        <v>0.6640625</v>
      </c>
      <c r="D90" s="13" t="s">
        <v>271</v>
      </c>
      <c r="E90" s="54" t="s">
        <v>556</v>
      </c>
      <c r="F90" s="13" t="s">
        <v>258</v>
      </c>
      <c r="G90" s="52">
        <v>77145</v>
      </c>
    </row>
    <row r="91" spans="1:18" x14ac:dyDescent="0.25">
      <c r="A91" s="13" t="s">
        <v>582</v>
      </c>
      <c r="B91" s="53">
        <v>46288</v>
      </c>
      <c r="C91" s="41">
        <v>0.97591435185185182</v>
      </c>
      <c r="D91" s="13" t="s">
        <v>264</v>
      </c>
      <c r="E91" s="54" t="s">
        <v>638</v>
      </c>
      <c r="F91" s="13" t="s">
        <v>281</v>
      </c>
      <c r="G91" s="52">
        <v>10000</v>
      </c>
    </row>
    <row r="92" spans="1:18" x14ac:dyDescent="0.25">
      <c r="A92" s="13" t="s">
        <v>584</v>
      </c>
      <c r="B92" s="51">
        <v>46288</v>
      </c>
      <c r="C92" s="41">
        <v>0.97697916666666662</v>
      </c>
      <c r="D92" s="13" t="s">
        <v>263</v>
      </c>
      <c r="E92" s="54" t="s">
        <v>639</v>
      </c>
      <c r="F92" s="13" t="s">
        <v>281</v>
      </c>
      <c r="G92" s="52">
        <v>97600</v>
      </c>
    </row>
    <row r="93" spans="1:18" x14ac:dyDescent="0.25">
      <c r="A93" s="13" t="s">
        <v>589</v>
      </c>
      <c r="B93" s="53">
        <v>46288</v>
      </c>
      <c r="C93" s="41">
        <v>0.99138888888888888</v>
      </c>
      <c r="D93" s="13" t="s">
        <v>271</v>
      </c>
      <c r="E93" s="54" t="s">
        <v>640</v>
      </c>
      <c r="F93" s="13" t="s">
        <v>590</v>
      </c>
      <c r="G93" s="52">
        <v>27000</v>
      </c>
    </row>
    <row r="94" spans="1:18" x14ac:dyDescent="0.25">
      <c r="A94" s="13" t="s">
        <v>594</v>
      </c>
      <c r="B94" s="51">
        <v>46290</v>
      </c>
      <c r="C94" s="41">
        <v>0.55017361111111107</v>
      </c>
      <c r="D94" s="13" t="s">
        <v>269</v>
      </c>
      <c r="E94" s="54" t="s">
        <v>641</v>
      </c>
      <c r="F94" s="13" t="s">
        <v>258</v>
      </c>
      <c r="G94" s="52">
        <v>30000</v>
      </c>
    </row>
    <row r="95" spans="1:18" x14ac:dyDescent="0.25">
      <c r="A95" s="13" t="s">
        <v>600</v>
      </c>
      <c r="B95" s="51">
        <v>46291</v>
      </c>
      <c r="C95" s="41">
        <v>0.6791666666666667</v>
      </c>
      <c r="D95" s="13" t="s">
        <v>270</v>
      </c>
      <c r="E95" s="54" t="s">
        <v>642</v>
      </c>
      <c r="F95" s="13" t="s">
        <v>281</v>
      </c>
      <c r="G95" s="52">
        <v>15000</v>
      </c>
    </row>
    <row r="96" spans="1:18" x14ac:dyDescent="0.25">
      <c r="A96" s="13" t="s">
        <v>602</v>
      </c>
      <c r="B96" s="51">
        <v>46291</v>
      </c>
      <c r="C96" s="41">
        <v>0.6799884259259259</v>
      </c>
      <c r="D96" s="13" t="s">
        <v>271</v>
      </c>
      <c r="E96" s="54" t="s">
        <v>643</v>
      </c>
      <c r="F96" s="13" t="s">
        <v>281</v>
      </c>
      <c r="G96" s="52">
        <v>22550</v>
      </c>
    </row>
    <row r="97" spans="1:7" x14ac:dyDescent="0.25">
      <c r="A97" s="13" t="s">
        <v>604</v>
      </c>
      <c r="B97" s="51">
        <v>46291</v>
      </c>
      <c r="C97" s="41">
        <v>0.6830208333333333</v>
      </c>
      <c r="D97" s="13" t="s">
        <v>271</v>
      </c>
      <c r="E97" s="54" t="s">
        <v>644</v>
      </c>
      <c r="F97" s="13" t="s">
        <v>281</v>
      </c>
      <c r="G97" s="52">
        <v>47000</v>
      </c>
    </row>
    <row r="98" spans="1:7" x14ac:dyDescent="0.25">
      <c r="A98" s="13" t="s">
        <v>606</v>
      </c>
      <c r="B98" s="51">
        <v>46291</v>
      </c>
      <c r="C98" s="41">
        <v>0.68361111111111106</v>
      </c>
      <c r="D98" s="13" t="s">
        <v>271</v>
      </c>
      <c r="E98" s="54" t="s">
        <v>645</v>
      </c>
      <c r="F98" s="13" t="s">
        <v>281</v>
      </c>
      <c r="G98" s="52">
        <v>15000</v>
      </c>
    </row>
    <row r="99" spans="1:7" x14ac:dyDescent="0.25">
      <c r="A99" s="13" t="s">
        <v>608</v>
      </c>
      <c r="B99" s="51">
        <v>46291</v>
      </c>
      <c r="C99" s="41">
        <v>0.68380787037037039</v>
      </c>
      <c r="D99" s="13" t="s">
        <v>257</v>
      </c>
      <c r="E99" s="54" t="s">
        <v>646</v>
      </c>
      <c r="F99" s="13" t="s">
        <v>281</v>
      </c>
      <c r="G99" s="52">
        <v>7500</v>
      </c>
    </row>
    <row r="100" spans="1:7" x14ac:dyDescent="0.25">
      <c r="A100" s="13" t="s">
        <v>745</v>
      </c>
      <c r="B100" s="51">
        <v>46295</v>
      </c>
      <c r="C100" s="41">
        <v>0.71079861111111109</v>
      </c>
      <c r="D100" s="13" t="s">
        <v>270</v>
      </c>
      <c r="E100" s="54" t="s">
        <v>746</v>
      </c>
      <c r="F100" s="13" t="s">
        <v>258</v>
      </c>
      <c r="G100" s="52">
        <v>9000</v>
      </c>
    </row>
    <row r="101" spans="1:7" x14ac:dyDescent="0.25">
      <c r="A101" s="13" t="s">
        <v>747</v>
      </c>
      <c r="B101" s="51">
        <v>46295</v>
      </c>
      <c r="C101" s="41">
        <v>0.71106481481481476</v>
      </c>
      <c r="D101" s="13" t="s">
        <v>270</v>
      </c>
      <c r="E101" s="54" t="s">
        <v>748</v>
      </c>
      <c r="F101" s="13" t="s">
        <v>258</v>
      </c>
      <c r="G101" s="52">
        <v>3500</v>
      </c>
    </row>
    <row r="102" spans="1:7" x14ac:dyDescent="0.25">
      <c r="A102" s="13" t="s">
        <v>749</v>
      </c>
      <c r="B102" s="51">
        <v>46296</v>
      </c>
      <c r="C102" s="41">
        <v>0.80753472222222222</v>
      </c>
      <c r="D102" s="13" t="s">
        <v>271</v>
      </c>
      <c r="E102" s="54" t="s">
        <v>750</v>
      </c>
      <c r="F102" s="13" t="s">
        <v>258</v>
      </c>
      <c r="G102" s="52">
        <v>13600</v>
      </c>
    </row>
    <row r="103" spans="1:7" x14ac:dyDescent="0.25">
      <c r="A103" s="13" t="s">
        <v>751</v>
      </c>
      <c r="B103" s="51">
        <v>46296</v>
      </c>
      <c r="C103" s="41">
        <v>0.80820601851851848</v>
      </c>
      <c r="D103" s="13" t="s">
        <v>271</v>
      </c>
      <c r="E103" s="54" t="s">
        <v>752</v>
      </c>
      <c r="F103" s="13" t="s">
        <v>258</v>
      </c>
      <c r="G103" s="52">
        <v>39000</v>
      </c>
    </row>
    <row r="104" spans="1:7" x14ac:dyDescent="0.25">
      <c r="A104" s="13" t="s">
        <v>805</v>
      </c>
      <c r="B104" s="51">
        <v>46297</v>
      </c>
      <c r="C104" s="41">
        <v>0.62983796296296302</v>
      </c>
      <c r="D104" s="13" t="s">
        <v>271</v>
      </c>
      <c r="E104" s="54" t="s">
        <v>813</v>
      </c>
      <c r="F104" s="13" t="s">
        <v>258</v>
      </c>
      <c r="G104" s="52">
        <v>44000</v>
      </c>
    </row>
    <row r="105" spans="1:7" x14ac:dyDescent="0.25">
      <c r="A105" s="13" t="s">
        <v>807</v>
      </c>
      <c r="B105" s="51">
        <v>46297</v>
      </c>
      <c r="C105" s="41">
        <v>0.7769328703703704</v>
      </c>
      <c r="D105" s="13" t="s">
        <v>270</v>
      </c>
      <c r="E105" s="54" t="s">
        <v>814</v>
      </c>
      <c r="F105" s="13" t="s">
        <v>258</v>
      </c>
      <c r="G105" s="52">
        <v>40000</v>
      </c>
    </row>
    <row r="106" spans="1:7" x14ac:dyDescent="0.25">
      <c r="A106" s="13" t="s">
        <v>811</v>
      </c>
      <c r="B106" s="51">
        <v>46298</v>
      </c>
      <c r="C106" s="41">
        <v>0.73587962962962961</v>
      </c>
      <c r="D106" s="13" t="s">
        <v>271</v>
      </c>
      <c r="E106" s="54" t="s">
        <v>815</v>
      </c>
      <c r="F106" s="13" t="s">
        <v>281</v>
      </c>
      <c r="G106" s="52">
        <v>58200</v>
      </c>
    </row>
    <row r="107" spans="1:7" x14ac:dyDescent="0.25">
      <c r="A107" s="13" t="s">
        <v>896</v>
      </c>
      <c r="B107" s="56">
        <v>46303</v>
      </c>
      <c r="C107" s="41">
        <v>0.6392592592592593</v>
      </c>
      <c r="D107" s="13" t="s">
        <v>270</v>
      </c>
      <c r="E107" s="54" t="s">
        <v>746</v>
      </c>
      <c r="F107" s="13" t="s">
        <v>258</v>
      </c>
      <c r="G107" s="52">
        <v>9000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988E-8DCF-4CB4-8D78-A1E75EA4B3E3}">
  <sheetPr codeName="Hoja14"/>
  <dimension ref="A1:I9"/>
  <sheetViews>
    <sheetView workbookViewId="0">
      <selection activeCell="A2" sqref="A2"/>
    </sheetView>
  </sheetViews>
  <sheetFormatPr baseColWidth="10" defaultRowHeight="15" x14ac:dyDescent="0.25"/>
  <cols>
    <col min="1" max="1" width="16.140625" customWidth="1"/>
    <col min="5" max="5" width="25.28515625" customWidth="1"/>
    <col min="6" max="6" width="24.85546875" customWidth="1"/>
    <col min="7" max="7" width="15" customWidth="1"/>
    <col min="9" max="9" width="13.28515625" customWidth="1"/>
  </cols>
  <sheetData>
    <row r="1" spans="1:9" x14ac:dyDescent="0.25">
      <c r="A1" s="2" t="s">
        <v>138</v>
      </c>
      <c r="B1" s="2" t="s">
        <v>51</v>
      </c>
      <c r="C1" s="2" t="s">
        <v>52</v>
      </c>
      <c r="D1" s="2" t="s">
        <v>99</v>
      </c>
      <c r="E1" s="2" t="s">
        <v>147</v>
      </c>
      <c r="F1" s="2" t="s">
        <v>140</v>
      </c>
      <c r="G1" s="2" t="s">
        <v>67</v>
      </c>
      <c r="H1" s="2" t="s">
        <v>57</v>
      </c>
      <c r="I1" s="2" t="s">
        <v>84</v>
      </c>
    </row>
    <row r="2" spans="1:9" x14ac:dyDescent="0.25">
      <c r="A2" s="1" t="s">
        <v>845</v>
      </c>
      <c r="B2" s="42">
        <v>46302</v>
      </c>
      <c r="C2" s="43">
        <v>0.88539351851851855</v>
      </c>
      <c r="D2" s="1" t="s">
        <v>846</v>
      </c>
      <c r="E2" s="1" t="s">
        <v>847</v>
      </c>
      <c r="F2" s="1" t="s">
        <v>848</v>
      </c>
      <c r="G2" s="1" t="s">
        <v>258</v>
      </c>
      <c r="H2" s="44">
        <v>250000</v>
      </c>
      <c r="I2" s="1"/>
    </row>
    <row r="3" spans="1:9" x14ac:dyDescent="0.25">
      <c r="A3" s="1"/>
      <c r="B3" s="42"/>
      <c r="C3" s="43"/>
      <c r="D3" s="1"/>
      <c r="E3" s="1"/>
      <c r="F3" s="1"/>
      <c r="G3" s="1"/>
      <c r="H3" s="44"/>
      <c r="I3" s="1"/>
    </row>
    <row r="4" spans="1:9" x14ac:dyDescent="0.25">
      <c r="A4" s="1"/>
      <c r="B4" s="42"/>
      <c r="C4" s="43"/>
      <c r="D4" s="1"/>
      <c r="E4" s="1"/>
      <c r="F4" s="1"/>
      <c r="G4" s="1"/>
      <c r="H4" s="44"/>
      <c r="I4" s="1"/>
    </row>
    <row r="5" spans="1:9" x14ac:dyDescent="0.25">
      <c r="A5" s="1"/>
      <c r="B5" s="42"/>
      <c r="C5" s="43"/>
      <c r="D5" s="1"/>
      <c r="E5" s="1"/>
      <c r="F5" s="1"/>
      <c r="G5" s="1"/>
      <c r="H5" s="44"/>
      <c r="I5" s="1"/>
    </row>
    <row r="6" spans="1:9" x14ac:dyDescent="0.25">
      <c r="A6" s="1"/>
      <c r="B6" s="42"/>
      <c r="C6" s="43"/>
      <c r="D6" s="1"/>
      <c r="E6" s="1"/>
      <c r="F6" s="1"/>
      <c r="G6" s="1"/>
      <c r="H6" s="44"/>
      <c r="I6" s="1"/>
    </row>
    <row r="7" spans="1:9" x14ac:dyDescent="0.25">
      <c r="A7" s="1"/>
      <c r="B7" s="42"/>
      <c r="C7" s="43"/>
      <c r="D7" s="1"/>
      <c r="E7" s="1"/>
      <c r="F7" s="1"/>
      <c r="G7" s="1"/>
      <c r="H7" s="44"/>
      <c r="I7" s="1"/>
    </row>
    <row r="8" spans="1:9" x14ac:dyDescent="0.25">
      <c r="A8" s="1"/>
      <c r="B8" s="42"/>
      <c r="C8" s="43"/>
      <c r="D8" s="1"/>
      <c r="E8" s="1"/>
      <c r="F8" s="1"/>
      <c r="G8" s="1"/>
      <c r="H8" s="44"/>
      <c r="I8" s="1"/>
    </row>
    <row r="9" spans="1:9" x14ac:dyDescent="0.25">
      <c r="A9" s="1"/>
      <c r="B9" s="42"/>
      <c r="C9" s="43"/>
      <c r="D9" s="1"/>
      <c r="E9" s="1"/>
      <c r="F9" s="1"/>
      <c r="G9" s="1"/>
      <c r="H9" s="44"/>
      <c r="I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62E6-C546-45EB-BB51-C3818BC79C86}">
  <sheetPr codeName="Hoja1"/>
  <dimension ref="A1:L15"/>
  <sheetViews>
    <sheetView workbookViewId="0">
      <selection activeCell="F17" sqref="F17"/>
    </sheetView>
  </sheetViews>
  <sheetFormatPr baseColWidth="10" defaultRowHeight="15" x14ac:dyDescent="0.25"/>
  <cols>
    <col min="1" max="1" width="12.7109375" customWidth="1"/>
    <col min="3" max="3" width="12.42578125" bestFit="1" customWidth="1"/>
    <col min="4" max="4" width="14" customWidth="1"/>
    <col min="5" max="5" width="22.7109375" customWidth="1"/>
    <col min="7" max="7" width="12.7109375" customWidth="1"/>
    <col min="8" max="8" width="13" bestFit="1" customWidth="1"/>
    <col min="9" max="9" width="15" customWidth="1"/>
    <col min="10" max="10" width="22.28515625" bestFit="1" customWidth="1"/>
    <col min="11" max="11" width="12.28515625" customWidth="1"/>
    <col min="12" max="12" width="25.7109375" customWidth="1"/>
  </cols>
  <sheetData>
    <row r="1" spans="1:12" ht="30" x14ac:dyDescent="0.25">
      <c r="A1" s="13" t="s">
        <v>141</v>
      </c>
      <c r="B1" s="13" t="s">
        <v>51</v>
      </c>
      <c r="C1" s="13" t="s">
        <v>52</v>
      </c>
      <c r="D1" s="1" t="s">
        <v>145</v>
      </c>
      <c r="E1" s="13" t="s">
        <v>142</v>
      </c>
      <c r="F1" s="13" t="s">
        <v>99</v>
      </c>
      <c r="G1" s="13" t="s">
        <v>143</v>
      </c>
      <c r="H1" s="13" t="s">
        <v>94</v>
      </c>
      <c r="I1" s="13" t="s">
        <v>67</v>
      </c>
      <c r="J1" s="13" t="s">
        <v>140</v>
      </c>
      <c r="K1" s="13" t="s">
        <v>53</v>
      </c>
      <c r="L1" s="13" t="s">
        <v>84</v>
      </c>
    </row>
    <row r="2" spans="1:12" x14ac:dyDescent="0.25">
      <c r="A2" s="13">
        <v>1</v>
      </c>
      <c r="B2" s="38">
        <v>46288</v>
      </c>
      <c r="C2" s="39">
        <v>0.97924768518518523</v>
      </c>
      <c r="D2" s="1"/>
      <c r="E2" s="13" t="s">
        <v>647</v>
      </c>
      <c r="F2" s="13" t="s">
        <v>648</v>
      </c>
      <c r="G2" s="40">
        <v>113000</v>
      </c>
      <c r="H2" s="40">
        <v>113000</v>
      </c>
      <c r="I2" s="13" t="s">
        <v>258</v>
      </c>
      <c r="J2" s="13" t="s">
        <v>649</v>
      </c>
      <c r="K2" s="13" t="s">
        <v>163</v>
      </c>
      <c r="L2" s="13"/>
    </row>
    <row r="3" spans="1:12" x14ac:dyDescent="0.25">
      <c r="A3" s="13">
        <v>2</v>
      </c>
      <c r="B3" s="38">
        <v>46288</v>
      </c>
      <c r="C3" s="39">
        <v>0.97991898148148149</v>
      </c>
      <c r="D3" s="1"/>
      <c r="E3" s="13" t="s">
        <v>647</v>
      </c>
      <c r="F3" s="13" t="s">
        <v>648</v>
      </c>
      <c r="G3" s="40">
        <v>188000</v>
      </c>
      <c r="H3" s="40">
        <v>188000</v>
      </c>
      <c r="I3" s="13" t="s">
        <v>281</v>
      </c>
      <c r="J3" s="13" t="s">
        <v>650</v>
      </c>
      <c r="K3" s="13" t="s">
        <v>163</v>
      </c>
      <c r="L3" s="13"/>
    </row>
    <row r="4" spans="1:12" x14ac:dyDescent="0.25">
      <c r="A4" s="13"/>
      <c r="B4" s="38"/>
      <c r="C4" s="39"/>
      <c r="D4" s="1"/>
      <c r="E4" s="13"/>
      <c r="F4" s="13"/>
      <c r="G4" s="40"/>
      <c r="H4" s="40"/>
      <c r="I4" s="13"/>
      <c r="J4" s="13"/>
      <c r="K4" s="13"/>
      <c r="L4" s="13"/>
    </row>
    <row r="5" spans="1:12" x14ac:dyDescent="0.25">
      <c r="A5" s="13"/>
      <c r="B5" s="38"/>
      <c r="C5" s="39"/>
      <c r="D5" s="1"/>
      <c r="E5" s="13"/>
      <c r="F5" s="13"/>
      <c r="G5" s="40"/>
      <c r="H5" s="40"/>
      <c r="I5" s="13"/>
      <c r="J5" s="13"/>
      <c r="K5" s="13"/>
      <c r="L5" s="13"/>
    </row>
    <row r="6" spans="1:12" x14ac:dyDescent="0.25">
      <c r="A6" s="13"/>
      <c r="B6" s="38"/>
      <c r="C6" s="39"/>
      <c r="D6" s="1"/>
      <c r="E6" s="13"/>
      <c r="F6" s="13"/>
      <c r="G6" s="40"/>
      <c r="H6" s="40"/>
      <c r="I6" s="13"/>
      <c r="J6" s="13"/>
      <c r="K6" s="13"/>
      <c r="L6" s="13"/>
    </row>
    <row r="7" spans="1:12" x14ac:dyDescent="0.25">
      <c r="A7" s="13"/>
      <c r="B7" s="38"/>
      <c r="C7" s="39"/>
      <c r="D7" s="1"/>
      <c r="E7" s="13"/>
      <c r="F7" s="13"/>
      <c r="G7" s="40"/>
      <c r="H7" s="40"/>
      <c r="I7" s="13"/>
      <c r="J7" s="13"/>
      <c r="K7" s="13"/>
      <c r="L7" s="13"/>
    </row>
    <row r="8" spans="1:12" x14ac:dyDescent="0.25">
      <c r="A8" s="13"/>
      <c r="B8" s="38"/>
      <c r="C8" s="39"/>
      <c r="D8" s="1"/>
      <c r="E8" s="13"/>
      <c r="F8" s="13"/>
      <c r="G8" s="40"/>
      <c r="H8" s="40"/>
      <c r="I8" s="13"/>
      <c r="J8" s="13"/>
      <c r="K8" s="13"/>
      <c r="L8" s="13"/>
    </row>
    <row r="9" spans="1:12" x14ac:dyDescent="0.25">
      <c r="A9" s="13"/>
      <c r="B9" s="38"/>
      <c r="C9" s="39"/>
      <c r="D9" s="1"/>
      <c r="E9" s="13"/>
      <c r="F9" s="13"/>
      <c r="G9" s="40"/>
      <c r="H9" s="40"/>
      <c r="I9" s="13"/>
      <c r="J9" s="13"/>
      <c r="K9" s="13"/>
      <c r="L9" s="13"/>
    </row>
    <row r="10" spans="1:12" x14ac:dyDescent="0.25">
      <c r="A10" s="13"/>
      <c r="B10" s="38"/>
      <c r="C10" s="39"/>
      <c r="D10" s="1"/>
      <c r="E10" s="13"/>
      <c r="F10" s="13"/>
      <c r="G10" s="40"/>
      <c r="H10" s="40"/>
      <c r="I10" s="13"/>
      <c r="J10" s="13"/>
      <c r="K10" s="13"/>
      <c r="L10" s="13"/>
    </row>
    <row r="11" spans="1:12" x14ac:dyDescent="0.25">
      <c r="A11" s="13"/>
      <c r="B11" s="38"/>
      <c r="C11" s="39"/>
      <c r="D11" s="1"/>
      <c r="E11" s="13"/>
      <c r="F11" s="13"/>
      <c r="G11" s="40"/>
      <c r="H11" s="40"/>
      <c r="I11" s="13"/>
      <c r="J11" s="13"/>
      <c r="K11" s="13"/>
      <c r="L11" s="13"/>
    </row>
    <row r="12" spans="1:12" x14ac:dyDescent="0.25">
      <c r="A12" s="13"/>
      <c r="B12" s="38"/>
      <c r="C12" s="39"/>
      <c r="D12" s="13"/>
      <c r="E12" s="13"/>
      <c r="F12" s="13"/>
      <c r="G12" s="40"/>
      <c r="H12" s="40"/>
      <c r="I12" s="13"/>
      <c r="J12" s="13"/>
      <c r="K12" s="13"/>
      <c r="L12" s="13"/>
    </row>
    <row r="13" spans="1:12" x14ac:dyDescent="0.25">
      <c r="A13" s="13"/>
      <c r="B13" s="38"/>
      <c r="C13" s="39"/>
      <c r="D13" s="13"/>
      <c r="E13" s="13"/>
      <c r="F13" s="13"/>
      <c r="G13" s="40"/>
      <c r="H13" s="40"/>
      <c r="I13" s="13"/>
      <c r="J13" s="13"/>
      <c r="K13" s="13"/>
      <c r="L13" s="13"/>
    </row>
    <row r="14" spans="1:12" x14ac:dyDescent="0.25">
      <c r="A14" s="13"/>
      <c r="B14" s="38"/>
      <c r="C14" s="39"/>
      <c r="D14" s="13"/>
      <c r="E14" s="13"/>
      <c r="F14" s="13"/>
      <c r="G14" s="40"/>
      <c r="H14" s="40"/>
      <c r="I14" s="13"/>
      <c r="J14" s="13"/>
      <c r="K14" s="13"/>
      <c r="L14" s="13"/>
    </row>
    <row r="15" spans="1:12" x14ac:dyDescent="0.25">
      <c r="A15" s="13"/>
      <c r="B15" s="38"/>
      <c r="C15" s="39"/>
      <c r="D15" s="13"/>
      <c r="E15" s="13"/>
      <c r="F15" s="13"/>
      <c r="G15" s="40"/>
      <c r="H15" s="40"/>
      <c r="I15" s="13"/>
      <c r="J15" s="13"/>
      <c r="K15" s="13"/>
      <c r="L15" s="13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486E-247A-41D1-B638-5660B4DD4D43}">
  <sheetPr codeName="Hoja13"/>
  <dimension ref="A1:I18"/>
  <sheetViews>
    <sheetView workbookViewId="0">
      <selection activeCell="C7" sqref="C7"/>
    </sheetView>
  </sheetViews>
  <sheetFormatPr baseColWidth="10" defaultRowHeight="15" x14ac:dyDescent="0.25"/>
  <cols>
    <col min="1" max="1" width="14.42578125" customWidth="1"/>
    <col min="3" max="3" width="12.42578125" bestFit="1" customWidth="1"/>
    <col min="4" max="4" width="12.7109375" customWidth="1"/>
    <col min="5" max="5" width="19" customWidth="1"/>
    <col min="6" max="6" width="15" customWidth="1"/>
    <col min="7" max="7" width="14.28515625" customWidth="1"/>
    <col min="8" max="8" width="15.7109375" customWidth="1"/>
    <col min="9" max="9" width="19.85546875" customWidth="1"/>
  </cols>
  <sheetData>
    <row r="1" spans="1:9" x14ac:dyDescent="0.25">
      <c r="A1" s="13" t="s">
        <v>144</v>
      </c>
      <c r="B1" s="13" t="s">
        <v>51</v>
      </c>
      <c r="C1" s="13" t="s">
        <v>52</v>
      </c>
      <c r="D1" s="13" t="s">
        <v>141</v>
      </c>
      <c r="E1" s="13" t="s">
        <v>146</v>
      </c>
      <c r="F1" s="13" t="s">
        <v>67</v>
      </c>
      <c r="G1" s="13" t="s">
        <v>57</v>
      </c>
      <c r="H1" s="13" t="s">
        <v>94</v>
      </c>
      <c r="I1" s="13" t="s">
        <v>84</v>
      </c>
    </row>
    <row r="2" spans="1:9" x14ac:dyDescent="0.25">
      <c r="A2" s="13">
        <v>1</v>
      </c>
      <c r="B2" s="38">
        <v>46288</v>
      </c>
      <c r="C2" s="39">
        <v>0.97924768518518523</v>
      </c>
      <c r="D2" s="13">
        <v>1</v>
      </c>
      <c r="E2" s="13" t="s">
        <v>651</v>
      </c>
      <c r="F2" s="13" t="s">
        <v>258</v>
      </c>
      <c r="G2" s="40">
        <v>113000</v>
      </c>
      <c r="H2" s="40">
        <v>113000</v>
      </c>
      <c r="I2" s="13"/>
    </row>
    <row r="3" spans="1:9" x14ac:dyDescent="0.25">
      <c r="A3" s="13">
        <v>2</v>
      </c>
      <c r="B3" s="38">
        <v>46288</v>
      </c>
      <c r="C3" s="39">
        <v>0.97991898148148149</v>
      </c>
      <c r="D3" s="13">
        <v>2</v>
      </c>
      <c r="E3" s="13" t="s">
        <v>651</v>
      </c>
      <c r="F3" s="13" t="s">
        <v>281</v>
      </c>
      <c r="G3" s="40">
        <v>188000</v>
      </c>
      <c r="H3" s="40">
        <v>188000</v>
      </c>
      <c r="I3" s="13"/>
    </row>
    <row r="4" spans="1:9" x14ac:dyDescent="0.25">
      <c r="A4" s="13"/>
      <c r="B4" s="38"/>
      <c r="C4" s="39"/>
      <c r="D4" s="13"/>
      <c r="E4" s="13"/>
      <c r="F4" s="13"/>
      <c r="G4" s="40"/>
      <c r="H4" s="40"/>
      <c r="I4" s="13"/>
    </row>
    <row r="5" spans="1:9" x14ac:dyDescent="0.25">
      <c r="A5" s="13"/>
      <c r="B5" s="38"/>
      <c r="C5" s="39"/>
      <c r="D5" s="13"/>
      <c r="E5" s="13"/>
      <c r="F5" s="13"/>
      <c r="G5" s="40"/>
      <c r="H5" s="40"/>
      <c r="I5" s="13"/>
    </row>
    <row r="6" spans="1:9" x14ac:dyDescent="0.25">
      <c r="A6" s="13"/>
      <c r="B6" s="38"/>
      <c r="C6" s="39"/>
      <c r="D6" s="13"/>
      <c r="E6" s="13"/>
      <c r="F6" s="13"/>
      <c r="G6" s="40"/>
      <c r="H6" s="40"/>
      <c r="I6" s="13"/>
    </row>
    <row r="7" spans="1:9" x14ac:dyDescent="0.25">
      <c r="A7" s="13"/>
      <c r="B7" s="38"/>
      <c r="C7" s="39"/>
      <c r="D7" s="13"/>
      <c r="E7" s="13"/>
      <c r="F7" s="13"/>
      <c r="G7" s="40"/>
      <c r="H7" s="40"/>
      <c r="I7" s="13"/>
    </row>
    <row r="8" spans="1:9" x14ac:dyDescent="0.25">
      <c r="A8" s="13"/>
      <c r="B8" s="38"/>
      <c r="C8" s="39"/>
      <c r="D8" s="13"/>
      <c r="E8" s="13"/>
      <c r="F8" s="13"/>
      <c r="G8" s="40"/>
      <c r="H8" s="40"/>
      <c r="I8" s="13"/>
    </row>
    <row r="9" spans="1:9" x14ac:dyDescent="0.25">
      <c r="A9" s="13"/>
      <c r="B9" s="38"/>
      <c r="C9" s="39"/>
      <c r="D9" s="13"/>
      <c r="E9" s="13"/>
      <c r="F9" s="13"/>
      <c r="G9" s="40"/>
      <c r="H9" s="40"/>
      <c r="I9" s="13"/>
    </row>
    <row r="10" spans="1:9" x14ac:dyDescent="0.25">
      <c r="A10" s="13"/>
      <c r="B10" s="38"/>
      <c r="C10" s="39"/>
      <c r="D10" s="13"/>
      <c r="E10" s="13"/>
      <c r="F10" s="13"/>
      <c r="G10" s="40"/>
      <c r="H10" s="40"/>
      <c r="I10" s="13"/>
    </row>
    <row r="11" spans="1:9" x14ac:dyDescent="0.25">
      <c r="A11" s="13"/>
      <c r="B11" s="38"/>
      <c r="C11" s="39"/>
      <c r="D11" s="13"/>
      <c r="E11" s="13"/>
      <c r="F11" s="13"/>
      <c r="G11" s="40"/>
      <c r="H11" s="40"/>
      <c r="I11" s="13"/>
    </row>
    <row r="12" spans="1:9" x14ac:dyDescent="0.25">
      <c r="A12" s="13"/>
      <c r="B12" s="38"/>
      <c r="C12" s="39"/>
      <c r="D12" s="13"/>
      <c r="E12" s="13"/>
      <c r="F12" s="13"/>
      <c r="G12" s="40"/>
      <c r="H12" s="40"/>
      <c r="I12" s="13"/>
    </row>
    <row r="13" spans="1:9" x14ac:dyDescent="0.25">
      <c r="A13" s="13"/>
      <c r="B13" s="38"/>
      <c r="C13" s="39"/>
      <c r="D13" s="13"/>
      <c r="E13" s="13"/>
      <c r="F13" s="13"/>
      <c r="G13" s="40"/>
      <c r="H13" s="40"/>
      <c r="I13" s="13"/>
    </row>
    <row r="14" spans="1:9" x14ac:dyDescent="0.25">
      <c r="A14" s="13"/>
      <c r="B14" s="38"/>
      <c r="C14" s="39"/>
      <c r="D14" s="13"/>
      <c r="E14" s="13"/>
      <c r="F14" s="13"/>
      <c r="G14" s="40"/>
      <c r="H14" s="40"/>
      <c r="I14" s="13"/>
    </row>
    <row r="15" spans="1:9" x14ac:dyDescent="0.25">
      <c r="A15" s="13"/>
      <c r="B15" s="38"/>
      <c r="C15" s="39"/>
      <c r="D15" s="13"/>
      <c r="E15" s="13"/>
      <c r="F15" s="13"/>
      <c r="G15" s="40"/>
      <c r="H15" s="40"/>
      <c r="I15" s="13"/>
    </row>
    <row r="16" spans="1:9" x14ac:dyDescent="0.25">
      <c r="A16" s="13"/>
      <c r="B16" s="38"/>
      <c r="C16" s="39"/>
      <c r="D16" s="13"/>
      <c r="E16" s="13"/>
      <c r="F16" s="13"/>
      <c r="G16" s="40"/>
      <c r="H16" s="40"/>
      <c r="I16" s="13"/>
    </row>
    <row r="17" spans="1:9" x14ac:dyDescent="0.25">
      <c r="A17" s="13"/>
      <c r="B17" s="38"/>
      <c r="C17" s="39"/>
      <c r="D17" s="13"/>
      <c r="E17" s="13"/>
      <c r="F17" s="13"/>
      <c r="G17" s="40"/>
      <c r="H17" s="40"/>
      <c r="I17" s="13"/>
    </row>
    <row r="18" spans="1:9" x14ac:dyDescent="0.25">
      <c r="A18" s="13"/>
      <c r="B18" s="38"/>
      <c r="C18" s="39"/>
      <c r="D18" s="13"/>
      <c r="E18" s="13"/>
      <c r="F18" s="13"/>
      <c r="G18" s="40"/>
      <c r="H18" s="40"/>
      <c r="I18" s="13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CE41-8346-489F-81F4-8B110653138F}">
  <sheetPr codeName="Hoja10"/>
  <dimension ref="A1:K517"/>
  <sheetViews>
    <sheetView topLeftCell="A484" workbookViewId="0">
      <selection activeCell="D489" sqref="D489"/>
    </sheetView>
  </sheetViews>
  <sheetFormatPr baseColWidth="10" defaultRowHeight="15" x14ac:dyDescent="0.25"/>
  <cols>
    <col min="2" max="2" width="12.7109375" bestFit="1" customWidth="1"/>
    <col min="5" max="5" width="19" customWidth="1"/>
    <col min="7" max="7" width="13.140625" customWidth="1"/>
    <col min="8" max="10" width="17" customWidth="1"/>
    <col min="11" max="11" width="20.5703125" customWidth="1"/>
  </cols>
  <sheetData>
    <row r="1" spans="1:11" ht="30" x14ac:dyDescent="0.25">
      <c r="A1" s="2" t="s">
        <v>51</v>
      </c>
      <c r="B1" s="2" t="s">
        <v>52</v>
      </c>
      <c r="C1" s="2" t="s">
        <v>92</v>
      </c>
      <c r="D1" s="2" t="s">
        <v>0</v>
      </c>
      <c r="E1" s="2" t="s">
        <v>1</v>
      </c>
      <c r="F1" s="2" t="s">
        <v>56</v>
      </c>
      <c r="G1" s="2" t="s">
        <v>82</v>
      </c>
      <c r="H1" s="2" t="s">
        <v>83</v>
      </c>
      <c r="I1" s="2" t="s">
        <v>299</v>
      </c>
      <c r="J1" s="2" t="s">
        <v>297</v>
      </c>
      <c r="K1" s="2" t="s">
        <v>84</v>
      </c>
    </row>
    <row r="2" spans="1:11" x14ac:dyDescent="0.25">
      <c r="A2" s="6">
        <v>46235</v>
      </c>
      <c r="B2" s="45">
        <v>0.39878472222222222</v>
      </c>
      <c r="C2" s="1" t="s">
        <v>300</v>
      </c>
      <c r="D2" s="1" t="s">
        <v>182</v>
      </c>
      <c r="E2" s="1" t="s">
        <v>183</v>
      </c>
      <c r="F2" s="1">
        <v>13</v>
      </c>
      <c r="G2" s="1">
        <v>0</v>
      </c>
      <c r="H2" s="1">
        <v>13</v>
      </c>
      <c r="I2" s="1"/>
      <c r="J2" s="1"/>
      <c r="K2" s="1"/>
    </row>
    <row r="3" spans="1:11" x14ac:dyDescent="0.25">
      <c r="A3" s="6">
        <v>46241</v>
      </c>
      <c r="B3" s="45">
        <v>0.39878472222222222</v>
      </c>
      <c r="C3" s="1" t="s">
        <v>300</v>
      </c>
      <c r="D3" s="1" t="s">
        <v>158</v>
      </c>
      <c r="E3" s="1" t="s">
        <v>159</v>
      </c>
      <c r="F3" s="1">
        <v>20</v>
      </c>
      <c r="G3" s="1">
        <v>0</v>
      </c>
      <c r="H3" s="1">
        <v>20</v>
      </c>
      <c r="I3" s="1"/>
      <c r="J3" s="1"/>
      <c r="K3" s="1"/>
    </row>
    <row r="4" spans="1:11" x14ac:dyDescent="0.25">
      <c r="A4" s="6">
        <v>46248</v>
      </c>
      <c r="B4" s="45">
        <v>0.39878472222222222</v>
      </c>
      <c r="C4" s="1" t="s">
        <v>300</v>
      </c>
      <c r="D4" s="1" t="s">
        <v>182</v>
      </c>
      <c r="E4" s="1" t="s">
        <v>183</v>
      </c>
      <c r="F4" s="1">
        <v>13</v>
      </c>
      <c r="G4" s="1">
        <v>13</v>
      </c>
      <c r="H4" s="1">
        <v>26</v>
      </c>
      <c r="I4" s="1"/>
      <c r="J4" s="1"/>
      <c r="K4" s="1"/>
    </row>
    <row r="5" spans="1:11" x14ac:dyDescent="0.25">
      <c r="A5" s="6">
        <v>46248</v>
      </c>
      <c r="B5" s="45">
        <v>0.39878472222222222</v>
      </c>
      <c r="C5" s="1" t="s">
        <v>300</v>
      </c>
      <c r="D5" s="1" t="s">
        <v>28</v>
      </c>
      <c r="E5" s="1" t="s">
        <v>107</v>
      </c>
      <c r="F5" s="1">
        <v>30</v>
      </c>
      <c r="G5" s="1">
        <v>0</v>
      </c>
      <c r="H5" s="1">
        <v>30</v>
      </c>
      <c r="I5" s="1"/>
      <c r="J5" s="1"/>
      <c r="K5" s="1"/>
    </row>
    <row r="6" spans="1:11" x14ac:dyDescent="0.25">
      <c r="A6" s="6">
        <v>46248</v>
      </c>
      <c r="B6" s="45">
        <v>0.39878472222222222</v>
      </c>
      <c r="C6" s="1" t="s">
        <v>300</v>
      </c>
      <c r="D6" s="1" t="s">
        <v>158</v>
      </c>
      <c r="E6" s="1" t="s">
        <v>159</v>
      </c>
      <c r="F6" s="1">
        <v>20</v>
      </c>
      <c r="G6" s="1">
        <v>20</v>
      </c>
      <c r="H6" s="1">
        <v>40</v>
      </c>
      <c r="I6" s="1"/>
      <c r="J6" s="1"/>
      <c r="K6" s="1"/>
    </row>
    <row r="7" spans="1:11" x14ac:dyDescent="0.25">
      <c r="A7" s="6">
        <v>46248</v>
      </c>
      <c r="B7" s="45">
        <v>0.39878472222222222</v>
      </c>
      <c r="C7" s="1" t="s">
        <v>300</v>
      </c>
      <c r="D7" s="1" t="s">
        <v>158</v>
      </c>
      <c r="E7" s="1" t="s">
        <v>161</v>
      </c>
      <c r="F7" s="1">
        <v>20</v>
      </c>
      <c r="G7" s="1">
        <v>0</v>
      </c>
      <c r="H7" s="1">
        <v>20</v>
      </c>
      <c r="I7" s="1"/>
      <c r="J7" s="1"/>
      <c r="K7" s="1"/>
    </row>
    <row r="8" spans="1:11" x14ac:dyDescent="0.25">
      <c r="A8" s="6">
        <v>46253</v>
      </c>
      <c r="B8" s="45">
        <v>0.39878472222222222</v>
      </c>
      <c r="C8" s="1" t="s">
        <v>300</v>
      </c>
      <c r="D8" s="1" t="s">
        <v>28</v>
      </c>
      <c r="E8" s="1" t="s">
        <v>107</v>
      </c>
      <c r="F8" s="1">
        <v>30</v>
      </c>
      <c r="G8" s="1">
        <v>30</v>
      </c>
      <c r="H8" s="1">
        <v>60</v>
      </c>
      <c r="I8" s="1"/>
      <c r="J8" s="1"/>
      <c r="K8" s="1"/>
    </row>
    <row r="9" spans="1:11" x14ac:dyDescent="0.25">
      <c r="A9" s="6">
        <v>46256</v>
      </c>
      <c r="B9" s="45">
        <v>0.39878472222222222</v>
      </c>
      <c r="C9" s="1" t="s">
        <v>300</v>
      </c>
      <c r="D9" s="1" t="s">
        <v>182</v>
      </c>
      <c r="E9" s="1" t="s">
        <v>183</v>
      </c>
      <c r="F9" s="1">
        <v>13</v>
      </c>
      <c r="G9" s="1">
        <f>+H4</f>
        <v>26</v>
      </c>
      <c r="H9" s="1">
        <v>39</v>
      </c>
      <c r="I9" s="1"/>
      <c r="J9" s="1"/>
      <c r="K9" s="1"/>
    </row>
    <row r="10" spans="1:11" x14ac:dyDescent="0.25">
      <c r="A10" s="6">
        <v>46256</v>
      </c>
      <c r="B10" s="45">
        <v>0.39878472222222222</v>
      </c>
      <c r="C10" s="1" t="s">
        <v>300</v>
      </c>
      <c r="D10" s="1" t="s">
        <v>28</v>
      </c>
      <c r="E10" s="1" t="s">
        <v>107</v>
      </c>
      <c r="F10" s="1">
        <v>30</v>
      </c>
      <c r="G10" s="1">
        <v>60</v>
      </c>
      <c r="H10" s="1">
        <v>90</v>
      </c>
      <c r="I10" s="1"/>
      <c r="J10" s="1"/>
      <c r="K10" s="1"/>
    </row>
    <row r="11" spans="1:11" x14ac:dyDescent="0.25">
      <c r="A11" s="6">
        <v>46256</v>
      </c>
      <c r="B11" s="45">
        <v>0.39878472222222222</v>
      </c>
      <c r="C11" s="1" t="s">
        <v>300</v>
      </c>
      <c r="D11" s="1" t="s">
        <v>190</v>
      </c>
      <c r="E11" s="1" t="s">
        <v>184</v>
      </c>
      <c r="F11" s="1">
        <v>30</v>
      </c>
      <c r="G11" s="1">
        <v>0</v>
      </c>
      <c r="H11" s="1">
        <v>30</v>
      </c>
      <c r="I11" s="1"/>
      <c r="J11" s="1"/>
      <c r="K11" s="1"/>
    </row>
    <row r="12" spans="1:11" x14ac:dyDescent="0.25">
      <c r="A12" s="6">
        <v>46256</v>
      </c>
      <c r="B12" s="45">
        <v>0.39878472222222222</v>
      </c>
      <c r="C12" s="1" t="s">
        <v>300</v>
      </c>
      <c r="D12" s="1" t="s">
        <v>24</v>
      </c>
      <c r="E12" s="1" t="s">
        <v>105</v>
      </c>
      <c r="F12" s="1">
        <v>30</v>
      </c>
      <c r="G12" s="1">
        <v>0</v>
      </c>
      <c r="H12" s="1">
        <v>30</v>
      </c>
      <c r="I12" s="1"/>
      <c r="J12" s="1"/>
      <c r="K12" s="1"/>
    </row>
    <row r="13" spans="1:11" x14ac:dyDescent="0.25">
      <c r="A13" s="6">
        <v>46256</v>
      </c>
      <c r="B13" s="45">
        <v>0.39878472222222222</v>
      </c>
      <c r="C13" s="1" t="s">
        <v>300</v>
      </c>
      <c r="D13" s="1" t="s">
        <v>22</v>
      </c>
      <c r="E13" s="1" t="s">
        <v>104</v>
      </c>
      <c r="F13" s="1">
        <v>30</v>
      </c>
      <c r="G13" s="1">
        <v>0</v>
      </c>
      <c r="H13" s="1">
        <v>30</v>
      </c>
      <c r="I13" s="1"/>
      <c r="J13" s="1"/>
      <c r="K13" s="1"/>
    </row>
    <row r="14" spans="1:11" x14ac:dyDescent="0.25">
      <c r="A14" s="6">
        <v>46256</v>
      </c>
      <c r="B14" s="45">
        <v>0.39878472222222222</v>
      </c>
      <c r="C14" s="1" t="s">
        <v>300</v>
      </c>
      <c r="D14" s="1" t="s">
        <v>32</v>
      </c>
      <c r="E14" s="1" t="s">
        <v>9</v>
      </c>
      <c r="F14" s="1">
        <v>24</v>
      </c>
      <c r="G14" s="1">
        <v>0</v>
      </c>
      <c r="H14" s="1">
        <v>24</v>
      </c>
      <c r="I14" s="1"/>
      <c r="J14" s="1"/>
      <c r="K14" s="1"/>
    </row>
    <row r="15" spans="1:11" x14ac:dyDescent="0.25">
      <c r="A15" s="6">
        <v>46256</v>
      </c>
      <c r="B15" s="45">
        <v>0.39878472222222222</v>
      </c>
      <c r="C15" s="1" t="s">
        <v>300</v>
      </c>
      <c r="D15" s="1" t="s">
        <v>21</v>
      </c>
      <c r="E15" s="1" t="s">
        <v>5</v>
      </c>
      <c r="F15" s="1">
        <f>ROUNDUP(5000/12,0)</f>
        <v>417</v>
      </c>
      <c r="G15" s="1">
        <v>0</v>
      </c>
      <c r="H15" s="1">
        <v>417</v>
      </c>
      <c r="I15" s="1"/>
      <c r="J15" s="1"/>
      <c r="K15" s="1"/>
    </row>
    <row r="16" spans="1:11" x14ac:dyDescent="0.25">
      <c r="A16" s="6">
        <v>46260</v>
      </c>
      <c r="B16" s="45">
        <v>0.39878472222222222</v>
      </c>
      <c r="C16" s="1" t="s">
        <v>300</v>
      </c>
      <c r="D16" s="1" t="s">
        <v>158</v>
      </c>
      <c r="E16" s="1" t="s">
        <v>159</v>
      </c>
      <c r="F16" s="1">
        <v>20</v>
      </c>
      <c r="G16" s="1">
        <v>40</v>
      </c>
      <c r="H16" s="1">
        <v>60</v>
      </c>
      <c r="I16" s="1"/>
      <c r="J16" s="1"/>
      <c r="K16" s="1"/>
    </row>
    <row r="17" spans="1:11" x14ac:dyDescent="0.25">
      <c r="A17" s="6">
        <v>46260</v>
      </c>
      <c r="B17" s="45">
        <v>0.39878472222222222</v>
      </c>
      <c r="C17" s="1" t="s">
        <v>300</v>
      </c>
      <c r="D17" s="1" t="s">
        <v>158</v>
      </c>
      <c r="E17" s="1" t="s">
        <v>161</v>
      </c>
      <c r="F17" s="1">
        <v>20</v>
      </c>
      <c r="G17" s="1">
        <v>20</v>
      </c>
      <c r="H17" s="1">
        <v>40</v>
      </c>
      <c r="I17" s="1"/>
      <c r="J17" s="1"/>
      <c r="K17" s="1"/>
    </row>
    <row r="18" spans="1:11" x14ac:dyDescent="0.25">
      <c r="A18" s="6">
        <v>46260</v>
      </c>
      <c r="B18" s="45">
        <v>0.39878472222222222</v>
      </c>
      <c r="C18" s="1" t="s">
        <v>300</v>
      </c>
      <c r="D18" s="1" t="s">
        <v>65</v>
      </c>
      <c r="E18" s="1" t="s">
        <v>16</v>
      </c>
      <c r="F18" s="1">
        <v>0</v>
      </c>
      <c r="G18" s="1">
        <v>40</v>
      </c>
      <c r="H18" s="1">
        <v>40</v>
      </c>
      <c r="I18" s="1"/>
      <c r="J18" s="1"/>
      <c r="K18" s="1"/>
    </row>
    <row r="19" spans="1:11" x14ac:dyDescent="0.25">
      <c r="A19" s="6">
        <v>46263</v>
      </c>
      <c r="B19" s="45">
        <v>0.39878472222222222</v>
      </c>
      <c r="C19" s="1" t="s">
        <v>300</v>
      </c>
      <c r="D19" s="1" t="s">
        <v>182</v>
      </c>
      <c r="E19" s="1" t="s">
        <v>183</v>
      </c>
      <c r="F19" s="1">
        <v>13</v>
      </c>
      <c r="G19" s="1">
        <f>+H9</f>
        <v>39</v>
      </c>
      <c r="H19" s="1">
        <v>52</v>
      </c>
      <c r="I19" s="1"/>
      <c r="J19" s="1"/>
      <c r="K19" s="1"/>
    </row>
    <row r="20" spans="1:11" x14ac:dyDescent="0.25">
      <c r="A20" s="6">
        <v>46263</v>
      </c>
      <c r="B20" s="45">
        <v>0.39878472222222222</v>
      </c>
      <c r="C20" s="1" t="s">
        <v>300</v>
      </c>
      <c r="D20" s="1" t="s">
        <v>65</v>
      </c>
      <c r="E20" s="1" t="s">
        <v>16</v>
      </c>
      <c r="F20" s="1">
        <v>40</v>
      </c>
      <c r="G20" s="1">
        <v>40</v>
      </c>
      <c r="H20" s="1">
        <v>80</v>
      </c>
      <c r="I20" s="1"/>
      <c r="J20" s="1"/>
      <c r="K20" s="1"/>
    </row>
    <row r="21" spans="1:11" x14ac:dyDescent="0.25">
      <c r="A21" s="6">
        <v>46267</v>
      </c>
      <c r="B21" s="45">
        <v>0.39878472222222222</v>
      </c>
      <c r="C21" s="1" t="s">
        <v>300</v>
      </c>
      <c r="D21" s="1" t="s">
        <v>158</v>
      </c>
      <c r="E21" s="1" t="s">
        <v>159</v>
      </c>
      <c r="F21" s="1">
        <v>40</v>
      </c>
      <c r="G21" s="1">
        <v>60</v>
      </c>
      <c r="H21" s="1">
        <v>100</v>
      </c>
      <c r="I21" s="1"/>
      <c r="J21" s="1"/>
      <c r="K21" s="1"/>
    </row>
    <row r="22" spans="1:11" x14ac:dyDescent="0.25">
      <c r="A22" s="6">
        <v>46270</v>
      </c>
      <c r="B22" s="45">
        <v>0.39878472222222222</v>
      </c>
      <c r="C22" s="1" t="s">
        <v>300</v>
      </c>
      <c r="D22" s="1" t="s">
        <v>158</v>
      </c>
      <c r="E22" s="1" t="s">
        <v>161</v>
      </c>
      <c r="F22" s="1">
        <v>20</v>
      </c>
      <c r="G22" s="1">
        <v>40</v>
      </c>
      <c r="H22" s="1">
        <v>60</v>
      </c>
      <c r="I22" s="1"/>
      <c r="J22" s="1"/>
      <c r="K22" s="1"/>
    </row>
    <row r="23" spans="1:11" x14ac:dyDescent="0.25">
      <c r="A23" s="6">
        <v>46270</v>
      </c>
      <c r="B23" s="45">
        <v>0.39878472222222222</v>
      </c>
      <c r="C23" s="1" t="s">
        <v>300</v>
      </c>
      <c r="D23" s="1" t="s">
        <v>182</v>
      </c>
      <c r="E23" s="1" t="s">
        <v>183</v>
      </c>
      <c r="F23" s="1">
        <v>13</v>
      </c>
      <c r="G23" s="1">
        <v>52</v>
      </c>
      <c r="H23" s="1">
        <v>65</v>
      </c>
      <c r="I23" s="1"/>
      <c r="J23" s="1"/>
      <c r="K23" s="1"/>
    </row>
    <row r="24" spans="1:11" x14ac:dyDescent="0.25">
      <c r="A24" s="6">
        <v>46270</v>
      </c>
      <c r="B24" s="45">
        <v>0.39878472222222222</v>
      </c>
      <c r="C24" s="1" t="s">
        <v>300</v>
      </c>
      <c r="D24" s="1" t="s">
        <v>403</v>
      </c>
      <c r="E24" s="1" t="s">
        <v>405</v>
      </c>
      <c r="F24" s="1">
        <v>16</v>
      </c>
      <c r="G24" s="1">
        <v>0</v>
      </c>
      <c r="H24" s="1">
        <v>16</v>
      </c>
      <c r="I24" s="1"/>
      <c r="J24" s="1"/>
      <c r="K24" s="1"/>
    </row>
    <row r="25" spans="1:11" x14ac:dyDescent="0.25">
      <c r="A25" s="6">
        <v>46274</v>
      </c>
      <c r="B25" s="45">
        <v>0.39878472222222222</v>
      </c>
      <c r="C25" s="1" t="s">
        <v>300</v>
      </c>
      <c r="D25" s="1" t="s">
        <v>182</v>
      </c>
      <c r="E25" s="1" t="s">
        <v>183</v>
      </c>
      <c r="F25" s="1">
        <v>13</v>
      </c>
      <c r="G25" s="1">
        <v>65</v>
      </c>
      <c r="H25" s="1">
        <v>78</v>
      </c>
      <c r="I25" s="1"/>
      <c r="J25" s="1"/>
      <c r="K25" s="1"/>
    </row>
    <row r="26" spans="1:11" x14ac:dyDescent="0.25">
      <c r="A26" s="6">
        <v>46276</v>
      </c>
      <c r="B26" s="45">
        <v>0.39878472222222222</v>
      </c>
      <c r="C26" s="1" t="s">
        <v>300</v>
      </c>
      <c r="D26" s="1" t="s">
        <v>28</v>
      </c>
      <c r="E26" s="1" t="s">
        <v>107</v>
      </c>
      <c r="F26" s="1">
        <v>30</v>
      </c>
      <c r="G26" s="1">
        <v>90</v>
      </c>
      <c r="H26" s="1">
        <v>120</v>
      </c>
      <c r="I26" s="1"/>
      <c r="J26" s="1"/>
      <c r="K26" s="1"/>
    </row>
    <row r="27" spans="1:11" x14ac:dyDescent="0.25">
      <c r="A27" s="6">
        <v>46276</v>
      </c>
      <c r="B27" s="45">
        <v>0.39878472222222222</v>
      </c>
      <c r="C27" s="1" t="s">
        <v>300</v>
      </c>
      <c r="D27" s="1" t="s">
        <v>190</v>
      </c>
      <c r="E27" s="1" t="s">
        <v>184</v>
      </c>
      <c r="F27" s="1">
        <v>30</v>
      </c>
      <c r="G27" s="1">
        <v>30</v>
      </c>
      <c r="H27" s="1">
        <v>60</v>
      </c>
      <c r="I27" s="1"/>
      <c r="J27" s="1"/>
      <c r="K27" s="1"/>
    </row>
    <row r="28" spans="1:11" x14ac:dyDescent="0.25">
      <c r="A28" s="6">
        <v>46276</v>
      </c>
      <c r="B28" s="45">
        <v>0.39878472222222222</v>
      </c>
      <c r="C28" s="1" t="s">
        <v>300</v>
      </c>
      <c r="D28" s="1" t="s">
        <v>30</v>
      </c>
      <c r="E28" s="1" t="s">
        <v>108</v>
      </c>
      <c r="F28" s="1">
        <v>15</v>
      </c>
      <c r="G28" s="1">
        <v>0</v>
      </c>
      <c r="H28" s="1">
        <v>15</v>
      </c>
      <c r="I28" s="1"/>
      <c r="J28" s="1"/>
      <c r="K28" s="1"/>
    </row>
    <row r="29" spans="1:11" x14ac:dyDescent="0.25">
      <c r="A29" s="6">
        <v>46276</v>
      </c>
      <c r="B29" s="45">
        <v>0.39878472222222222</v>
      </c>
      <c r="C29" s="1" t="s">
        <v>300</v>
      </c>
      <c r="D29" s="1" t="s">
        <v>31</v>
      </c>
      <c r="E29" s="1" t="s">
        <v>109</v>
      </c>
      <c r="F29" s="1">
        <v>15</v>
      </c>
      <c r="G29" s="1">
        <v>0</v>
      </c>
      <c r="H29" s="1">
        <v>15</v>
      </c>
      <c r="I29" s="1"/>
      <c r="J29" s="1"/>
      <c r="K29" s="1"/>
    </row>
    <row r="30" spans="1:11" x14ac:dyDescent="0.25">
      <c r="A30" s="6">
        <v>46276</v>
      </c>
      <c r="B30" s="45">
        <v>0.39878472222222222</v>
      </c>
      <c r="C30" s="1" t="s">
        <v>300</v>
      </c>
      <c r="D30" s="1" t="s">
        <v>24</v>
      </c>
      <c r="E30" s="1" t="s">
        <v>105</v>
      </c>
      <c r="F30" s="1">
        <v>15</v>
      </c>
      <c r="G30" s="1">
        <v>30</v>
      </c>
      <c r="H30" s="1">
        <v>45</v>
      </c>
      <c r="I30" s="1"/>
      <c r="J30" s="1"/>
      <c r="K30" s="1"/>
    </row>
    <row r="31" spans="1:11" x14ac:dyDescent="0.25">
      <c r="A31" s="6">
        <v>46276</v>
      </c>
      <c r="B31" s="45">
        <v>0.39878472222222222</v>
      </c>
      <c r="C31" s="1" t="s">
        <v>300</v>
      </c>
      <c r="D31" s="1" t="s">
        <v>22</v>
      </c>
      <c r="E31" s="1" t="s">
        <v>104</v>
      </c>
      <c r="F31" s="1">
        <v>15</v>
      </c>
      <c r="G31" s="1">
        <v>30</v>
      </c>
      <c r="H31" s="1">
        <v>45</v>
      </c>
      <c r="I31" s="1"/>
      <c r="J31" s="1"/>
      <c r="K31" s="1"/>
    </row>
    <row r="32" spans="1:11" ht="30" x14ac:dyDescent="0.25">
      <c r="A32" s="6">
        <v>46276</v>
      </c>
      <c r="B32" s="45">
        <v>0.39878472222222222</v>
      </c>
      <c r="C32" s="1" t="s">
        <v>300</v>
      </c>
      <c r="D32" s="1" t="s">
        <v>27</v>
      </c>
      <c r="E32" s="1" t="s">
        <v>106</v>
      </c>
      <c r="F32" s="1">
        <v>15</v>
      </c>
      <c r="G32" s="1">
        <v>0</v>
      </c>
      <c r="H32" s="1">
        <v>15</v>
      </c>
      <c r="I32" s="1"/>
      <c r="J32" s="1"/>
      <c r="K32" s="1"/>
    </row>
    <row r="33" spans="1:11" x14ac:dyDescent="0.25">
      <c r="A33" s="6">
        <v>46280</v>
      </c>
      <c r="B33" s="45">
        <v>0.93336805555555558</v>
      </c>
      <c r="C33" s="1" t="s">
        <v>458</v>
      </c>
      <c r="D33" s="1" t="s">
        <v>22</v>
      </c>
      <c r="E33" s="1" t="s">
        <v>104</v>
      </c>
      <c r="F33" s="1">
        <v>1</v>
      </c>
      <c r="G33" s="1">
        <v>45</v>
      </c>
      <c r="H33" s="1">
        <v>44</v>
      </c>
      <c r="I33" s="1"/>
      <c r="J33" s="1"/>
      <c r="K33" s="1" t="s">
        <v>459</v>
      </c>
    </row>
    <row r="34" spans="1:11" x14ac:dyDescent="0.25">
      <c r="A34" s="6">
        <v>46280</v>
      </c>
      <c r="B34" s="45">
        <v>0.93336805555555558</v>
      </c>
      <c r="C34" s="1" t="s">
        <v>458</v>
      </c>
      <c r="D34" s="1" t="s">
        <v>190</v>
      </c>
      <c r="E34" s="1" t="s">
        <v>184</v>
      </c>
      <c r="F34" s="1">
        <v>1</v>
      </c>
      <c r="G34" s="1">
        <v>30</v>
      </c>
      <c r="H34" s="1">
        <v>29</v>
      </c>
      <c r="I34" s="1"/>
      <c r="J34" s="1"/>
      <c r="K34" s="1" t="s">
        <v>459</v>
      </c>
    </row>
    <row r="35" spans="1:11" x14ac:dyDescent="0.25">
      <c r="A35" s="6">
        <v>46281</v>
      </c>
      <c r="B35" s="45">
        <v>0.92019675925925926</v>
      </c>
      <c r="C35" s="1" t="s">
        <v>458</v>
      </c>
      <c r="D35" s="1" t="s">
        <v>190</v>
      </c>
      <c r="E35" s="1" t="s">
        <v>184</v>
      </c>
      <c r="F35" s="1">
        <v>1</v>
      </c>
      <c r="G35" s="1">
        <v>24</v>
      </c>
      <c r="H35" s="1">
        <v>23</v>
      </c>
      <c r="I35" s="1"/>
      <c r="J35" s="1"/>
      <c r="K35" s="1" t="s">
        <v>465</v>
      </c>
    </row>
    <row r="36" spans="1:11" x14ac:dyDescent="0.25">
      <c r="A36" s="6">
        <v>46281</v>
      </c>
      <c r="B36" s="45">
        <v>0.92625000000000002</v>
      </c>
      <c r="C36" s="1" t="s">
        <v>458</v>
      </c>
      <c r="D36" s="1" t="s">
        <v>28</v>
      </c>
      <c r="E36" s="1" t="s">
        <v>107</v>
      </c>
      <c r="F36" s="1">
        <v>2</v>
      </c>
      <c r="G36" s="1">
        <v>8</v>
      </c>
      <c r="H36" s="1">
        <v>6</v>
      </c>
      <c r="I36" s="1"/>
      <c r="J36" s="1"/>
      <c r="K36" s="1" t="s">
        <v>466</v>
      </c>
    </row>
    <row r="37" spans="1:11" x14ac:dyDescent="0.25">
      <c r="A37" s="6">
        <v>46281</v>
      </c>
      <c r="B37" s="45">
        <v>0.92625000000000002</v>
      </c>
      <c r="C37" s="1" t="s">
        <v>458</v>
      </c>
      <c r="D37" s="1" t="s">
        <v>302</v>
      </c>
      <c r="E37" s="1" t="s">
        <v>161</v>
      </c>
      <c r="F37" s="1">
        <v>1</v>
      </c>
      <c r="G37" s="1">
        <v>40</v>
      </c>
      <c r="H37" s="1">
        <v>39</v>
      </c>
      <c r="I37" s="1"/>
      <c r="J37" s="1"/>
      <c r="K37" s="1" t="s">
        <v>466</v>
      </c>
    </row>
    <row r="38" spans="1:11" x14ac:dyDescent="0.25">
      <c r="A38" s="6">
        <v>46281</v>
      </c>
      <c r="B38" s="45">
        <v>0.92625000000000002</v>
      </c>
      <c r="C38" s="1" t="s">
        <v>458</v>
      </c>
      <c r="D38" s="1" t="s">
        <v>158</v>
      </c>
      <c r="E38" s="1" t="s">
        <v>159</v>
      </c>
      <c r="F38" s="1">
        <v>2</v>
      </c>
      <c r="G38" s="1">
        <v>20</v>
      </c>
      <c r="H38" s="1">
        <v>18</v>
      </c>
      <c r="I38" s="1"/>
      <c r="J38" s="1"/>
      <c r="K38" s="1" t="s">
        <v>466</v>
      </c>
    </row>
    <row r="39" spans="1:11" x14ac:dyDescent="0.25">
      <c r="A39" s="6">
        <v>46281</v>
      </c>
      <c r="B39" s="45">
        <v>0.93214120370370368</v>
      </c>
      <c r="C39" s="1" t="s">
        <v>458</v>
      </c>
      <c r="D39" s="1" t="s">
        <v>28</v>
      </c>
      <c r="E39" s="1" t="s">
        <v>107</v>
      </c>
      <c r="F39" s="1">
        <v>2</v>
      </c>
      <c r="G39" s="1">
        <v>6</v>
      </c>
      <c r="H39" s="1">
        <v>4</v>
      </c>
      <c r="I39" s="1"/>
      <c r="J39" s="1"/>
      <c r="K39" s="1" t="s">
        <v>467</v>
      </c>
    </row>
    <row r="40" spans="1:11" x14ac:dyDescent="0.25">
      <c r="A40" s="6">
        <v>46281</v>
      </c>
      <c r="B40" s="45">
        <v>0.9344675925925926</v>
      </c>
      <c r="C40" s="1" t="s">
        <v>458</v>
      </c>
      <c r="D40" s="1" t="s">
        <v>182</v>
      </c>
      <c r="E40" s="1" t="s">
        <v>183</v>
      </c>
      <c r="F40" s="1">
        <v>2</v>
      </c>
      <c r="G40" s="1">
        <v>9</v>
      </c>
      <c r="H40" s="1">
        <v>7</v>
      </c>
      <c r="I40" s="1"/>
      <c r="J40" s="1"/>
      <c r="K40" s="1" t="s">
        <v>468</v>
      </c>
    </row>
    <row r="41" spans="1:11" x14ac:dyDescent="0.25">
      <c r="A41" s="6">
        <v>46281</v>
      </c>
      <c r="B41" s="45">
        <v>0.9344675925925926</v>
      </c>
      <c r="C41" s="1" t="s">
        <v>458</v>
      </c>
      <c r="D41" s="1" t="s">
        <v>28</v>
      </c>
      <c r="E41" s="1" t="s">
        <v>107</v>
      </c>
      <c r="F41" s="1">
        <v>2</v>
      </c>
      <c r="G41" s="1">
        <v>4</v>
      </c>
      <c r="H41" s="1">
        <v>2</v>
      </c>
      <c r="I41" s="1"/>
      <c r="J41" s="1"/>
      <c r="K41" s="1" t="s">
        <v>468</v>
      </c>
    </row>
    <row r="42" spans="1:11" x14ac:dyDescent="0.25">
      <c r="A42" s="6">
        <v>46281</v>
      </c>
      <c r="B42" s="45">
        <v>0.9670023148148148</v>
      </c>
      <c r="C42" s="1" t="s">
        <v>458</v>
      </c>
      <c r="D42" s="1" t="s">
        <v>182</v>
      </c>
      <c r="E42" s="1" t="s">
        <v>183</v>
      </c>
      <c r="F42" s="1">
        <v>1</v>
      </c>
      <c r="G42" s="1">
        <v>7</v>
      </c>
      <c r="H42" s="1">
        <v>6</v>
      </c>
      <c r="I42" s="1"/>
      <c r="J42" s="1"/>
      <c r="K42" s="1" t="s">
        <v>469</v>
      </c>
    </row>
    <row r="43" spans="1:11" x14ac:dyDescent="0.25">
      <c r="A43" s="6">
        <v>46281</v>
      </c>
      <c r="B43" s="45">
        <v>0.9670023148148148</v>
      </c>
      <c r="C43" s="1" t="s">
        <v>458</v>
      </c>
      <c r="D43" s="1" t="s">
        <v>302</v>
      </c>
      <c r="E43" s="1" t="s">
        <v>161</v>
      </c>
      <c r="F43" s="1">
        <v>1</v>
      </c>
      <c r="G43" s="1">
        <v>39</v>
      </c>
      <c r="H43" s="1">
        <v>38</v>
      </c>
      <c r="I43" s="1"/>
      <c r="J43" s="1"/>
      <c r="K43" s="1" t="s">
        <v>469</v>
      </c>
    </row>
    <row r="44" spans="1:11" x14ac:dyDescent="0.25">
      <c r="A44" s="6">
        <v>46281</v>
      </c>
      <c r="B44" s="45">
        <v>0.96723379629629624</v>
      </c>
      <c r="C44" s="1" t="s">
        <v>458</v>
      </c>
      <c r="D44" s="1" t="s">
        <v>158</v>
      </c>
      <c r="E44" s="1" t="s">
        <v>159</v>
      </c>
      <c r="F44" s="1">
        <v>2</v>
      </c>
      <c r="G44" s="1">
        <v>18</v>
      </c>
      <c r="H44" s="1">
        <v>16</v>
      </c>
      <c r="I44" s="1"/>
      <c r="J44" s="1"/>
      <c r="K44" s="1" t="s">
        <v>470</v>
      </c>
    </row>
    <row r="45" spans="1:11" x14ac:dyDescent="0.25">
      <c r="A45" s="6">
        <v>46281</v>
      </c>
      <c r="B45" s="45">
        <v>0.97982638888888884</v>
      </c>
      <c r="C45" s="1" t="s">
        <v>458</v>
      </c>
      <c r="D45" s="1" t="s">
        <v>182</v>
      </c>
      <c r="E45" s="1" t="s">
        <v>183</v>
      </c>
      <c r="F45" s="1">
        <v>1</v>
      </c>
      <c r="G45" s="1">
        <v>6</v>
      </c>
      <c r="H45" s="1">
        <v>5</v>
      </c>
      <c r="I45" s="1"/>
      <c r="J45" s="1"/>
      <c r="K45" s="1" t="s">
        <v>471</v>
      </c>
    </row>
    <row r="46" spans="1:11" x14ac:dyDescent="0.25">
      <c r="A46" s="6">
        <v>46281</v>
      </c>
      <c r="B46" s="45">
        <v>0.98275462962962967</v>
      </c>
      <c r="C46" s="1" t="s">
        <v>458</v>
      </c>
      <c r="D46" s="1" t="s">
        <v>182</v>
      </c>
      <c r="E46" s="1" t="s">
        <v>183</v>
      </c>
      <c r="F46" s="1">
        <v>1</v>
      </c>
      <c r="G46" s="1">
        <v>5</v>
      </c>
      <c r="H46" s="1">
        <v>4</v>
      </c>
      <c r="I46" s="1"/>
      <c r="J46" s="1"/>
      <c r="K46" s="1" t="s">
        <v>471</v>
      </c>
    </row>
    <row r="47" spans="1:11" x14ac:dyDescent="0.25">
      <c r="A47" s="6">
        <v>46281</v>
      </c>
      <c r="B47" s="45">
        <v>0.98340277777777774</v>
      </c>
      <c r="C47" s="1" t="s">
        <v>458</v>
      </c>
      <c r="D47" s="1" t="s">
        <v>182</v>
      </c>
      <c r="E47" s="1" t="s">
        <v>183</v>
      </c>
      <c r="F47" s="1">
        <v>1</v>
      </c>
      <c r="G47" s="1">
        <v>4</v>
      </c>
      <c r="H47" s="1">
        <v>3</v>
      </c>
      <c r="I47" s="1"/>
      <c r="J47" s="1"/>
      <c r="K47" s="1" t="s">
        <v>472</v>
      </c>
    </row>
    <row r="48" spans="1:11" x14ac:dyDescent="0.25">
      <c r="A48" s="6">
        <v>46281</v>
      </c>
      <c r="B48" s="45">
        <v>0.98340277777777774</v>
      </c>
      <c r="C48" s="1" t="s">
        <v>458</v>
      </c>
      <c r="D48" s="1" t="s">
        <v>302</v>
      </c>
      <c r="E48" s="1" t="s">
        <v>161</v>
      </c>
      <c r="F48" s="1">
        <v>2</v>
      </c>
      <c r="G48" s="1">
        <v>38</v>
      </c>
      <c r="H48" s="1">
        <v>36</v>
      </c>
      <c r="I48" s="1"/>
      <c r="J48" s="1"/>
      <c r="K48" s="1" t="s">
        <v>472</v>
      </c>
    </row>
    <row r="49" spans="1:11" x14ac:dyDescent="0.25">
      <c r="A49" s="6">
        <v>46281</v>
      </c>
      <c r="B49" s="45">
        <v>0.98362268518518514</v>
      </c>
      <c r="C49" s="1" t="s">
        <v>458</v>
      </c>
      <c r="D49" s="1" t="s">
        <v>302</v>
      </c>
      <c r="E49" s="1" t="s">
        <v>161</v>
      </c>
      <c r="F49" s="1">
        <v>1</v>
      </c>
      <c r="G49" s="1">
        <v>36</v>
      </c>
      <c r="H49" s="1">
        <v>35</v>
      </c>
      <c r="I49" s="1"/>
      <c r="J49" s="1"/>
      <c r="K49" s="1" t="s">
        <v>473</v>
      </c>
    </row>
    <row r="50" spans="1:11" x14ac:dyDescent="0.25">
      <c r="A50" s="6">
        <v>46281</v>
      </c>
      <c r="B50" s="45">
        <v>0.99539351851851854</v>
      </c>
      <c r="C50" s="1" t="s">
        <v>458</v>
      </c>
      <c r="D50" s="1" t="s">
        <v>190</v>
      </c>
      <c r="E50" s="1" t="s">
        <v>184</v>
      </c>
      <c r="F50" s="1">
        <v>1</v>
      </c>
      <c r="G50" s="1">
        <v>23</v>
      </c>
      <c r="H50" s="1">
        <v>22</v>
      </c>
      <c r="I50" s="1"/>
      <c r="J50" s="1"/>
      <c r="K50" s="1" t="s">
        <v>474</v>
      </c>
    </row>
    <row r="51" spans="1:11" x14ac:dyDescent="0.25">
      <c r="A51" s="6">
        <v>46281</v>
      </c>
      <c r="B51" s="45">
        <v>0.99898148148148147</v>
      </c>
      <c r="C51" s="1" t="s">
        <v>458</v>
      </c>
      <c r="D51" s="1" t="s">
        <v>182</v>
      </c>
      <c r="E51" s="1" t="s">
        <v>183</v>
      </c>
      <c r="F51" s="1">
        <v>2</v>
      </c>
      <c r="G51" s="1">
        <v>3</v>
      </c>
      <c r="H51" s="1">
        <v>1</v>
      </c>
      <c r="I51" s="1"/>
      <c r="J51" s="1"/>
      <c r="K51" s="1" t="s">
        <v>475</v>
      </c>
    </row>
    <row r="52" spans="1:11" x14ac:dyDescent="0.25">
      <c r="A52" s="6">
        <v>46283</v>
      </c>
      <c r="B52" s="45">
        <v>0.65689814814814818</v>
      </c>
      <c r="C52" s="1" t="s">
        <v>300</v>
      </c>
      <c r="D52" s="1" t="s">
        <v>65</v>
      </c>
      <c r="E52" s="1" t="s">
        <v>16</v>
      </c>
      <c r="F52" s="1">
        <v>20</v>
      </c>
      <c r="G52" s="1">
        <v>47</v>
      </c>
      <c r="H52" s="1">
        <v>67</v>
      </c>
      <c r="I52" s="1"/>
      <c r="J52" s="1"/>
      <c r="K52" s="1"/>
    </row>
    <row r="53" spans="1:11" x14ac:dyDescent="0.25">
      <c r="A53" s="6">
        <v>46282</v>
      </c>
      <c r="B53" s="45">
        <v>0.71406250000000004</v>
      </c>
      <c r="C53" s="1" t="s">
        <v>458</v>
      </c>
      <c r="D53" s="1" t="s">
        <v>22</v>
      </c>
      <c r="E53" s="1" t="s">
        <v>104</v>
      </c>
      <c r="F53" s="1">
        <v>2</v>
      </c>
      <c r="G53" s="1">
        <v>17</v>
      </c>
      <c r="H53" s="1">
        <v>15</v>
      </c>
      <c r="I53" s="1"/>
      <c r="J53" s="1"/>
      <c r="K53" s="1" t="s">
        <v>480</v>
      </c>
    </row>
    <row r="54" spans="1:11" x14ac:dyDescent="0.25">
      <c r="A54" s="6">
        <v>46282</v>
      </c>
      <c r="B54" s="45">
        <v>0.71406250000000004</v>
      </c>
      <c r="C54" s="1" t="s">
        <v>458</v>
      </c>
      <c r="D54" s="1" t="s">
        <v>110</v>
      </c>
      <c r="E54" s="1" t="s">
        <v>115</v>
      </c>
      <c r="F54" s="1">
        <v>1</v>
      </c>
      <c r="G54" s="1">
        <v>20</v>
      </c>
      <c r="H54" s="1">
        <v>19</v>
      </c>
      <c r="I54" s="1"/>
      <c r="J54" s="1"/>
      <c r="K54" s="1" t="s">
        <v>480</v>
      </c>
    </row>
    <row r="55" spans="1:11" x14ac:dyDescent="0.25">
      <c r="A55" s="6">
        <v>46282</v>
      </c>
      <c r="B55" s="45">
        <v>0.7141319444444445</v>
      </c>
      <c r="C55" s="1" t="s">
        <v>458</v>
      </c>
      <c r="D55" s="1" t="s">
        <v>190</v>
      </c>
      <c r="E55" s="1" t="s">
        <v>184</v>
      </c>
      <c r="F55" s="1">
        <v>1</v>
      </c>
      <c r="G55" s="1">
        <v>22</v>
      </c>
      <c r="H55" s="1">
        <v>21</v>
      </c>
      <c r="I55" s="1"/>
      <c r="J55" s="1"/>
      <c r="K55" s="1" t="s">
        <v>481</v>
      </c>
    </row>
    <row r="56" spans="1:11" x14ac:dyDescent="0.25">
      <c r="A56" s="6">
        <v>46282</v>
      </c>
      <c r="B56" s="45">
        <v>0.75820601851851854</v>
      </c>
      <c r="C56" s="1" t="s">
        <v>458</v>
      </c>
      <c r="D56" s="1" t="s">
        <v>22</v>
      </c>
      <c r="E56" s="1" t="s">
        <v>104</v>
      </c>
      <c r="F56" s="1">
        <v>5</v>
      </c>
      <c r="G56" s="1">
        <v>15</v>
      </c>
      <c r="H56" s="1">
        <v>10</v>
      </c>
      <c r="I56" s="1"/>
      <c r="J56" s="1"/>
      <c r="K56" s="1" t="s">
        <v>482</v>
      </c>
    </row>
    <row r="57" spans="1:11" x14ac:dyDescent="0.25">
      <c r="A57" s="6">
        <v>46282</v>
      </c>
      <c r="B57" s="45">
        <v>0.75820601851851854</v>
      </c>
      <c r="C57" s="1" t="s">
        <v>458</v>
      </c>
      <c r="D57" s="1" t="s">
        <v>302</v>
      </c>
      <c r="E57" s="1" t="s">
        <v>161</v>
      </c>
      <c r="F57" s="1">
        <v>3</v>
      </c>
      <c r="G57" s="1">
        <v>35</v>
      </c>
      <c r="H57" s="1">
        <v>32</v>
      </c>
      <c r="I57" s="1"/>
      <c r="J57" s="1"/>
      <c r="K57" s="1" t="s">
        <v>482</v>
      </c>
    </row>
    <row r="58" spans="1:11" x14ac:dyDescent="0.25">
      <c r="A58" s="6">
        <v>46282</v>
      </c>
      <c r="B58" s="45">
        <v>0.75834490740740745</v>
      </c>
      <c r="C58" s="1" t="s">
        <v>458</v>
      </c>
      <c r="D58" s="1" t="s">
        <v>24</v>
      </c>
      <c r="E58" s="1" t="s">
        <v>105</v>
      </c>
      <c r="F58" s="1">
        <v>1</v>
      </c>
      <c r="G58" s="1">
        <v>13</v>
      </c>
      <c r="H58" s="1">
        <v>12</v>
      </c>
      <c r="I58" s="1"/>
      <c r="J58" s="1"/>
      <c r="K58" s="1" t="s">
        <v>483</v>
      </c>
    </row>
    <row r="59" spans="1:11" x14ac:dyDescent="0.25">
      <c r="A59" s="6">
        <v>46282</v>
      </c>
      <c r="B59" s="45">
        <v>0.75944444444444448</v>
      </c>
      <c r="C59" s="1" t="s">
        <v>458</v>
      </c>
      <c r="D59" s="1" t="s">
        <v>24</v>
      </c>
      <c r="E59" s="1" t="s">
        <v>105</v>
      </c>
      <c r="F59" s="1">
        <v>1</v>
      </c>
      <c r="G59" s="1">
        <v>12</v>
      </c>
      <c r="H59" s="1">
        <v>11</v>
      </c>
      <c r="I59" s="1"/>
      <c r="J59" s="1"/>
      <c r="K59" s="1" t="s">
        <v>483</v>
      </c>
    </row>
    <row r="60" spans="1:11" x14ac:dyDescent="0.25">
      <c r="A60" s="6">
        <v>46282</v>
      </c>
      <c r="B60" s="45">
        <v>0.79710648148148144</v>
      </c>
      <c r="C60" s="1" t="s">
        <v>300</v>
      </c>
      <c r="D60" s="1" t="s">
        <v>486</v>
      </c>
      <c r="E60" s="1" t="s">
        <v>107</v>
      </c>
      <c r="F60" s="1">
        <v>30</v>
      </c>
      <c r="G60" s="1">
        <v>2</v>
      </c>
      <c r="H60" s="1">
        <v>32</v>
      </c>
      <c r="I60" s="1"/>
      <c r="J60" s="1"/>
      <c r="K60" s="1"/>
    </row>
    <row r="61" spans="1:11" ht="30" x14ac:dyDescent="0.25">
      <c r="A61" s="6">
        <v>46282</v>
      </c>
      <c r="B61" s="45">
        <v>0.82502314814814814</v>
      </c>
      <c r="C61" s="1" t="s">
        <v>492</v>
      </c>
      <c r="D61" s="1" t="s">
        <v>27</v>
      </c>
      <c r="E61" s="1" t="s">
        <v>106</v>
      </c>
      <c r="F61" s="1">
        <v>1</v>
      </c>
      <c r="G61" s="1">
        <v>0</v>
      </c>
      <c r="H61" s="1">
        <v>1</v>
      </c>
      <c r="I61" s="1"/>
      <c r="J61" s="1"/>
      <c r="K61" s="1"/>
    </row>
    <row r="62" spans="1:11" x14ac:dyDescent="0.25">
      <c r="A62" s="6">
        <v>46282</v>
      </c>
      <c r="B62" s="45">
        <v>0.84225694444444443</v>
      </c>
      <c r="C62" s="1" t="s">
        <v>458</v>
      </c>
      <c r="D62" s="1" t="s">
        <v>24</v>
      </c>
      <c r="E62" s="1" t="s">
        <v>105</v>
      </c>
      <c r="F62" s="1">
        <v>1</v>
      </c>
      <c r="G62" s="1">
        <v>11</v>
      </c>
      <c r="H62" s="1">
        <v>10</v>
      </c>
      <c r="I62" s="1"/>
      <c r="J62" s="1"/>
      <c r="K62" s="1" t="s">
        <v>493</v>
      </c>
    </row>
    <row r="63" spans="1:11" x14ac:dyDescent="0.25">
      <c r="A63" s="6">
        <v>46282</v>
      </c>
      <c r="B63" s="45">
        <v>0.84225694444444443</v>
      </c>
      <c r="C63" s="1" t="s">
        <v>458</v>
      </c>
      <c r="D63" s="1" t="s">
        <v>65</v>
      </c>
      <c r="E63" s="1" t="s">
        <v>16</v>
      </c>
      <c r="F63" s="1">
        <v>1</v>
      </c>
      <c r="G63" s="1">
        <v>50</v>
      </c>
      <c r="H63" s="1">
        <v>49</v>
      </c>
      <c r="I63" s="1"/>
      <c r="J63" s="1"/>
      <c r="K63" s="1" t="s">
        <v>493</v>
      </c>
    </row>
    <row r="64" spans="1:11" ht="30" x14ac:dyDescent="0.25">
      <c r="A64" s="6">
        <v>46282</v>
      </c>
      <c r="B64" s="45">
        <v>0.88196759259259261</v>
      </c>
      <c r="C64" s="1" t="s">
        <v>458</v>
      </c>
      <c r="D64" s="1" t="s">
        <v>127</v>
      </c>
      <c r="E64" s="1" t="s">
        <v>128</v>
      </c>
      <c r="F64" s="1">
        <v>1</v>
      </c>
      <c r="G64" s="1">
        <v>20</v>
      </c>
      <c r="H64" s="1">
        <v>19</v>
      </c>
      <c r="I64" s="1"/>
      <c r="J64" s="1"/>
      <c r="K64" s="1" t="s">
        <v>494</v>
      </c>
    </row>
    <row r="65" spans="1:11" x14ac:dyDescent="0.25">
      <c r="A65" s="6">
        <v>46282</v>
      </c>
      <c r="B65" s="45">
        <v>0.89635416666666667</v>
      </c>
      <c r="C65" s="1" t="s">
        <v>458</v>
      </c>
      <c r="D65" s="1" t="s">
        <v>190</v>
      </c>
      <c r="E65" s="1" t="s">
        <v>184</v>
      </c>
      <c r="F65" s="1">
        <v>1</v>
      </c>
      <c r="G65" s="1">
        <v>21</v>
      </c>
      <c r="H65" s="1">
        <v>20</v>
      </c>
      <c r="I65" s="1"/>
      <c r="J65" s="1"/>
      <c r="K65" s="1" t="s">
        <v>495</v>
      </c>
    </row>
    <row r="66" spans="1:11" x14ac:dyDescent="0.25">
      <c r="A66" s="6">
        <v>46282</v>
      </c>
      <c r="B66" s="45">
        <v>0.89635416666666667</v>
      </c>
      <c r="C66" s="1" t="s">
        <v>458</v>
      </c>
      <c r="D66" s="1" t="s">
        <v>28</v>
      </c>
      <c r="E66" s="1" t="s">
        <v>107</v>
      </c>
      <c r="F66" s="1">
        <v>1</v>
      </c>
      <c r="G66" s="1">
        <v>32</v>
      </c>
      <c r="H66" s="1">
        <v>31</v>
      </c>
      <c r="I66" s="1"/>
      <c r="J66" s="1"/>
      <c r="K66" s="1" t="s">
        <v>495</v>
      </c>
    </row>
    <row r="67" spans="1:11" ht="30" x14ac:dyDescent="0.25">
      <c r="A67" s="6">
        <v>46282</v>
      </c>
      <c r="B67" s="45">
        <v>0.89653935185185185</v>
      </c>
      <c r="C67" s="1" t="s">
        <v>492</v>
      </c>
      <c r="D67" s="1" t="s">
        <v>182</v>
      </c>
      <c r="E67" s="1" t="s">
        <v>183</v>
      </c>
      <c r="F67" s="1">
        <v>1</v>
      </c>
      <c r="G67" s="1">
        <v>1</v>
      </c>
      <c r="H67" s="1">
        <v>2</v>
      </c>
      <c r="I67" s="1"/>
      <c r="J67" s="1"/>
      <c r="K67" s="1"/>
    </row>
    <row r="68" spans="1:11" x14ac:dyDescent="0.25">
      <c r="A68" s="6">
        <v>46282</v>
      </c>
      <c r="B68" s="45">
        <v>0.90401620370370372</v>
      </c>
      <c r="C68" s="1" t="s">
        <v>458</v>
      </c>
      <c r="D68" s="1" t="s">
        <v>28</v>
      </c>
      <c r="E68" s="1" t="s">
        <v>107</v>
      </c>
      <c r="F68" s="1">
        <v>3</v>
      </c>
      <c r="G68" s="1">
        <v>31</v>
      </c>
      <c r="H68" s="1">
        <v>28</v>
      </c>
      <c r="I68" s="1"/>
      <c r="J68" s="1"/>
      <c r="K68" s="1" t="s">
        <v>496</v>
      </c>
    </row>
    <row r="69" spans="1:11" x14ac:dyDescent="0.25">
      <c r="A69" s="6">
        <v>46282</v>
      </c>
      <c r="B69" s="45">
        <v>0.90401620370370372</v>
      </c>
      <c r="C69" s="1" t="s">
        <v>458</v>
      </c>
      <c r="D69" s="1" t="s">
        <v>302</v>
      </c>
      <c r="E69" s="1" t="s">
        <v>161</v>
      </c>
      <c r="F69" s="1">
        <v>2</v>
      </c>
      <c r="G69" s="1">
        <v>32</v>
      </c>
      <c r="H69" s="1">
        <v>30</v>
      </c>
      <c r="I69" s="1"/>
      <c r="J69" s="1"/>
      <c r="K69" s="1" t="s">
        <v>496</v>
      </c>
    </row>
    <row r="70" spans="1:11" x14ac:dyDescent="0.25">
      <c r="A70" s="6">
        <v>46282</v>
      </c>
      <c r="B70" s="45">
        <v>0.92986111111111114</v>
      </c>
      <c r="C70" s="1" t="s">
        <v>458</v>
      </c>
      <c r="D70" s="1" t="s">
        <v>22</v>
      </c>
      <c r="E70" s="1" t="s">
        <v>104</v>
      </c>
      <c r="F70" s="1">
        <v>2</v>
      </c>
      <c r="G70" s="1">
        <v>10</v>
      </c>
      <c r="H70" s="1">
        <v>8</v>
      </c>
      <c r="I70" s="1"/>
      <c r="J70" s="1"/>
      <c r="K70" s="1" t="s">
        <v>497</v>
      </c>
    </row>
    <row r="71" spans="1:11" x14ac:dyDescent="0.25">
      <c r="A71" s="6">
        <v>46282</v>
      </c>
      <c r="B71" s="45">
        <v>0.92986111111111114</v>
      </c>
      <c r="C71" s="1" t="s">
        <v>458</v>
      </c>
      <c r="D71" s="1" t="s">
        <v>21</v>
      </c>
      <c r="E71" s="1" t="s">
        <v>5</v>
      </c>
      <c r="F71" s="1">
        <v>1</v>
      </c>
      <c r="G71" s="1">
        <v>1000</v>
      </c>
      <c r="H71" s="1">
        <v>999</v>
      </c>
      <c r="I71" s="1"/>
      <c r="J71" s="1"/>
      <c r="K71" s="1" t="s">
        <v>497</v>
      </c>
    </row>
    <row r="72" spans="1:11" x14ac:dyDescent="0.25">
      <c r="A72" s="6">
        <v>46282</v>
      </c>
      <c r="B72" s="45">
        <v>0.92986111111111114</v>
      </c>
      <c r="C72" s="1" t="s">
        <v>458</v>
      </c>
      <c r="D72" s="1" t="s">
        <v>110</v>
      </c>
      <c r="E72" s="1" t="s">
        <v>115</v>
      </c>
      <c r="F72" s="1">
        <v>1</v>
      </c>
      <c r="G72" s="1">
        <v>19</v>
      </c>
      <c r="H72" s="1">
        <v>18</v>
      </c>
      <c r="I72" s="1"/>
      <c r="J72" s="1"/>
      <c r="K72" s="1" t="s">
        <v>497</v>
      </c>
    </row>
    <row r="73" spans="1:11" x14ac:dyDescent="0.25">
      <c r="A73" s="6">
        <v>46282</v>
      </c>
      <c r="B73" s="45">
        <v>0.94552083333333337</v>
      </c>
      <c r="C73" s="1" t="s">
        <v>458</v>
      </c>
      <c r="D73" s="1" t="s">
        <v>21</v>
      </c>
      <c r="E73" s="1" t="s">
        <v>5</v>
      </c>
      <c r="F73" s="1">
        <v>3</v>
      </c>
      <c r="G73" s="1">
        <v>999</v>
      </c>
      <c r="H73" s="1">
        <v>996</v>
      </c>
      <c r="I73" s="1"/>
      <c r="J73" s="1"/>
      <c r="K73" s="1" t="s">
        <v>498</v>
      </c>
    </row>
    <row r="74" spans="1:11" x14ac:dyDescent="0.25">
      <c r="A74" s="6">
        <v>46282</v>
      </c>
      <c r="B74" s="45">
        <v>0.94604166666666667</v>
      </c>
      <c r="C74" s="1" t="s">
        <v>458</v>
      </c>
      <c r="D74" s="1" t="s">
        <v>21</v>
      </c>
      <c r="E74" s="1" t="s">
        <v>5</v>
      </c>
      <c r="F74" s="1">
        <v>1</v>
      </c>
      <c r="G74" s="1">
        <v>996</v>
      </c>
      <c r="H74" s="1">
        <v>995</v>
      </c>
      <c r="I74" s="1"/>
      <c r="J74" s="1"/>
      <c r="K74" s="1" t="s">
        <v>499</v>
      </c>
    </row>
    <row r="75" spans="1:11" x14ac:dyDescent="0.25">
      <c r="A75" s="6">
        <v>46282</v>
      </c>
      <c r="B75" s="45">
        <v>0.94662037037037039</v>
      </c>
      <c r="C75" s="1" t="s">
        <v>458</v>
      </c>
      <c r="D75" s="1" t="s">
        <v>21</v>
      </c>
      <c r="E75" s="1" t="s">
        <v>5</v>
      </c>
      <c r="F75" s="1">
        <v>1</v>
      </c>
      <c r="G75" s="1">
        <v>995</v>
      </c>
      <c r="H75" s="1">
        <v>994</v>
      </c>
      <c r="I75" s="1"/>
      <c r="J75" s="1"/>
      <c r="K75" s="1" t="s">
        <v>500</v>
      </c>
    </row>
    <row r="76" spans="1:11" ht="30" x14ac:dyDescent="0.25">
      <c r="A76" s="6">
        <v>46282</v>
      </c>
      <c r="B76" s="45">
        <v>0.94662037037037039</v>
      </c>
      <c r="C76" s="1" t="s">
        <v>458</v>
      </c>
      <c r="D76" s="1" t="s">
        <v>27</v>
      </c>
      <c r="E76" s="1" t="s">
        <v>106</v>
      </c>
      <c r="F76" s="1">
        <v>1</v>
      </c>
      <c r="G76" s="1">
        <v>1</v>
      </c>
      <c r="H76" s="1">
        <v>0</v>
      </c>
      <c r="I76" s="1"/>
      <c r="J76" s="1"/>
      <c r="K76" s="1" t="s">
        <v>500</v>
      </c>
    </row>
    <row r="77" spans="1:11" x14ac:dyDescent="0.25">
      <c r="A77" s="6">
        <v>46282</v>
      </c>
      <c r="B77" s="45">
        <v>0.94662037037037039</v>
      </c>
      <c r="C77" s="1" t="s">
        <v>458</v>
      </c>
      <c r="D77" s="1" t="s">
        <v>110</v>
      </c>
      <c r="E77" s="1" t="s">
        <v>115</v>
      </c>
      <c r="F77" s="1">
        <v>1</v>
      </c>
      <c r="G77" s="1">
        <v>18</v>
      </c>
      <c r="H77" s="1">
        <v>17</v>
      </c>
      <c r="I77" s="1"/>
      <c r="J77" s="1"/>
      <c r="K77" s="1" t="s">
        <v>500</v>
      </c>
    </row>
    <row r="78" spans="1:11" x14ac:dyDescent="0.25">
      <c r="A78" s="6">
        <v>46282</v>
      </c>
      <c r="B78" s="45">
        <v>0.94687500000000002</v>
      </c>
      <c r="C78" s="1" t="s">
        <v>458</v>
      </c>
      <c r="D78" s="1" t="s">
        <v>10</v>
      </c>
      <c r="E78" s="1" t="s">
        <v>15</v>
      </c>
      <c r="F78" s="1">
        <v>1</v>
      </c>
      <c r="G78" s="1">
        <v>50</v>
      </c>
      <c r="H78" s="1">
        <v>49</v>
      </c>
      <c r="I78" s="1"/>
      <c r="J78" s="1"/>
      <c r="K78" s="1" t="s">
        <v>501</v>
      </c>
    </row>
    <row r="79" spans="1:11" x14ac:dyDescent="0.25">
      <c r="A79" s="6">
        <v>46282</v>
      </c>
      <c r="B79" s="45">
        <v>0.94693287037037033</v>
      </c>
      <c r="C79" s="1" t="s">
        <v>458</v>
      </c>
      <c r="D79" s="1" t="s">
        <v>10</v>
      </c>
      <c r="E79" s="1" t="s">
        <v>15</v>
      </c>
      <c r="F79" s="1">
        <v>1</v>
      </c>
      <c r="G79" s="1">
        <v>49</v>
      </c>
      <c r="H79" s="1">
        <v>48</v>
      </c>
      <c r="I79" s="1"/>
      <c r="J79" s="1"/>
      <c r="K79" s="1" t="s">
        <v>502</v>
      </c>
    </row>
    <row r="80" spans="1:11" x14ac:dyDescent="0.25">
      <c r="A80" s="6">
        <v>46282</v>
      </c>
      <c r="B80" s="45">
        <v>0.95925925925925926</v>
      </c>
      <c r="C80" s="1" t="s">
        <v>458</v>
      </c>
      <c r="D80" s="1" t="s">
        <v>65</v>
      </c>
      <c r="E80" s="1" t="s">
        <v>16</v>
      </c>
      <c r="F80" s="1">
        <v>1</v>
      </c>
      <c r="G80" s="1">
        <v>49</v>
      </c>
      <c r="H80" s="1">
        <v>48</v>
      </c>
      <c r="I80" s="1"/>
      <c r="J80" s="1"/>
      <c r="K80" s="1" t="s">
        <v>504</v>
      </c>
    </row>
    <row r="81" spans="1:11" x14ac:dyDescent="0.25">
      <c r="A81" s="6">
        <v>46282</v>
      </c>
      <c r="B81" s="45">
        <v>0.98577546296296292</v>
      </c>
      <c r="C81" s="1" t="s">
        <v>458</v>
      </c>
      <c r="D81" s="1" t="s">
        <v>65</v>
      </c>
      <c r="E81" s="1" t="s">
        <v>16</v>
      </c>
      <c r="F81" s="1">
        <v>1</v>
      </c>
      <c r="G81" s="1">
        <v>48</v>
      </c>
      <c r="H81" s="1">
        <v>47</v>
      </c>
      <c r="I81" s="1"/>
      <c r="J81" s="1"/>
      <c r="K81" s="1" t="s">
        <v>505</v>
      </c>
    </row>
    <row r="82" spans="1:11" x14ac:dyDescent="0.25">
      <c r="A82" s="6">
        <v>46282</v>
      </c>
      <c r="B82" s="45">
        <v>0.98577546296296292</v>
      </c>
      <c r="C82" s="1" t="s">
        <v>458</v>
      </c>
      <c r="D82" s="1" t="s">
        <v>22</v>
      </c>
      <c r="E82" s="1" t="s">
        <v>104</v>
      </c>
      <c r="F82" s="1">
        <v>1</v>
      </c>
      <c r="G82" s="1">
        <v>8</v>
      </c>
      <c r="H82" s="1">
        <v>7</v>
      </c>
      <c r="I82" s="1"/>
      <c r="J82" s="1"/>
      <c r="K82" s="1" t="s">
        <v>505</v>
      </c>
    </row>
    <row r="83" spans="1:11" x14ac:dyDescent="0.25">
      <c r="A83" s="6">
        <v>46282</v>
      </c>
      <c r="B83" s="45">
        <v>0.98577546296296292</v>
      </c>
      <c r="C83" s="1" t="s">
        <v>458</v>
      </c>
      <c r="D83" s="1" t="s">
        <v>301</v>
      </c>
      <c r="E83" s="1" t="s">
        <v>191</v>
      </c>
      <c r="F83" s="1">
        <v>1</v>
      </c>
      <c r="G83" s="1">
        <v>1000</v>
      </c>
      <c r="H83" s="1">
        <v>999</v>
      </c>
      <c r="I83" s="1"/>
      <c r="J83" s="1"/>
      <c r="K83" s="1" t="s">
        <v>505</v>
      </c>
    </row>
    <row r="84" spans="1:11" x14ac:dyDescent="0.25">
      <c r="A84" s="6">
        <v>46282</v>
      </c>
      <c r="B84" s="45">
        <v>0.98577546296296292</v>
      </c>
      <c r="C84" s="1" t="s">
        <v>458</v>
      </c>
      <c r="D84" s="1" t="s">
        <v>21</v>
      </c>
      <c r="E84" s="1" t="s">
        <v>5</v>
      </c>
      <c r="F84" s="1">
        <v>1</v>
      </c>
      <c r="G84" s="1">
        <v>994</v>
      </c>
      <c r="H84" s="1">
        <v>993</v>
      </c>
      <c r="I84" s="1"/>
      <c r="J84" s="1"/>
      <c r="K84" s="1" t="s">
        <v>506</v>
      </c>
    </row>
    <row r="85" spans="1:11" x14ac:dyDescent="0.25">
      <c r="A85" s="6">
        <v>46282</v>
      </c>
      <c r="B85" s="45">
        <v>0.98577546296296292</v>
      </c>
      <c r="C85" s="1" t="s">
        <v>458</v>
      </c>
      <c r="D85" s="1" t="s">
        <v>22</v>
      </c>
      <c r="E85" s="1" t="s">
        <v>104</v>
      </c>
      <c r="F85" s="1">
        <v>2</v>
      </c>
      <c r="G85" s="1">
        <v>7</v>
      </c>
      <c r="H85" s="1">
        <v>5</v>
      </c>
      <c r="I85" s="1"/>
      <c r="J85" s="1"/>
      <c r="K85" s="1" t="s">
        <v>507</v>
      </c>
    </row>
    <row r="86" spans="1:11" x14ac:dyDescent="0.25">
      <c r="A86" s="6">
        <v>46283</v>
      </c>
      <c r="B86" s="45">
        <v>0.71561342592592592</v>
      </c>
      <c r="C86" s="1" t="s">
        <v>300</v>
      </c>
      <c r="D86" s="1" t="s">
        <v>182</v>
      </c>
      <c r="E86" s="1" t="s">
        <v>183</v>
      </c>
      <c r="F86" s="1">
        <v>13</v>
      </c>
      <c r="G86" s="1">
        <v>2</v>
      </c>
      <c r="H86" s="1">
        <v>15</v>
      </c>
      <c r="I86" s="1"/>
      <c r="J86" s="1"/>
      <c r="K86" s="1"/>
    </row>
    <row r="87" spans="1:11" ht="30" x14ac:dyDescent="0.25">
      <c r="A87" s="6">
        <v>46283</v>
      </c>
      <c r="B87" s="45">
        <v>0.71604166666666669</v>
      </c>
      <c r="C87" s="1" t="s">
        <v>300</v>
      </c>
      <c r="D87" s="1" t="s">
        <v>27</v>
      </c>
      <c r="E87" s="1" t="s">
        <v>106</v>
      </c>
      <c r="F87" s="1">
        <v>15</v>
      </c>
      <c r="G87" s="1">
        <v>0</v>
      </c>
      <c r="H87" s="1">
        <v>15</v>
      </c>
      <c r="I87" s="1"/>
      <c r="J87" s="1"/>
      <c r="K87" s="1"/>
    </row>
    <row r="88" spans="1:11" x14ac:dyDescent="0.25">
      <c r="A88" s="6">
        <v>46283</v>
      </c>
      <c r="B88" s="45">
        <v>0.71622685185185186</v>
      </c>
      <c r="C88" s="1" t="s">
        <v>300</v>
      </c>
      <c r="D88" s="1" t="s">
        <v>22</v>
      </c>
      <c r="E88" s="1" t="s">
        <v>104</v>
      </c>
      <c r="F88" s="1">
        <v>15</v>
      </c>
      <c r="G88" s="1">
        <v>5</v>
      </c>
      <c r="H88" s="1">
        <v>20</v>
      </c>
      <c r="I88" s="1"/>
      <c r="J88" s="1"/>
      <c r="K88" s="1"/>
    </row>
    <row r="89" spans="1:11" x14ac:dyDescent="0.25">
      <c r="A89" s="6">
        <v>46283</v>
      </c>
      <c r="B89" s="45">
        <v>0.83179398148148154</v>
      </c>
      <c r="C89" s="1" t="s">
        <v>458</v>
      </c>
      <c r="D89" s="1" t="s">
        <v>31</v>
      </c>
      <c r="E89" s="1" t="s">
        <v>109</v>
      </c>
      <c r="F89" s="1">
        <v>1</v>
      </c>
      <c r="G89" s="1">
        <v>10</v>
      </c>
      <c r="H89" s="1">
        <v>9</v>
      </c>
      <c r="I89" s="1"/>
      <c r="J89" s="1"/>
      <c r="K89" s="1" t="s">
        <v>514</v>
      </c>
    </row>
    <row r="90" spans="1:11" x14ac:dyDescent="0.25">
      <c r="A90" s="6">
        <v>46283</v>
      </c>
      <c r="B90" s="45">
        <v>0.8634722222222222</v>
      </c>
      <c r="C90" s="1" t="s">
        <v>458</v>
      </c>
      <c r="D90" s="1" t="s">
        <v>22</v>
      </c>
      <c r="E90" s="1" t="s">
        <v>104</v>
      </c>
      <c r="F90" s="1">
        <v>2</v>
      </c>
      <c r="G90" s="1">
        <v>20</v>
      </c>
      <c r="H90" s="1">
        <v>18</v>
      </c>
      <c r="I90" s="1"/>
      <c r="J90" s="1"/>
      <c r="K90" s="1" t="s">
        <v>519</v>
      </c>
    </row>
    <row r="91" spans="1:11" ht="30" x14ac:dyDescent="0.25">
      <c r="A91" s="6">
        <v>46283</v>
      </c>
      <c r="B91" s="45">
        <v>0.8634722222222222</v>
      </c>
      <c r="C91" s="1" t="s">
        <v>458</v>
      </c>
      <c r="D91" s="1" t="s">
        <v>131</v>
      </c>
      <c r="E91" s="1" t="s">
        <v>133</v>
      </c>
      <c r="F91" s="1">
        <v>1</v>
      </c>
      <c r="G91" s="1">
        <v>100</v>
      </c>
      <c r="H91" s="1">
        <v>99</v>
      </c>
      <c r="I91" s="1"/>
      <c r="J91" s="1"/>
      <c r="K91" s="1" t="s">
        <v>519</v>
      </c>
    </row>
    <row r="92" spans="1:11" x14ac:dyDescent="0.25">
      <c r="A92" s="6">
        <v>46283</v>
      </c>
      <c r="B92" s="45">
        <v>0.8634722222222222</v>
      </c>
      <c r="C92" s="1" t="s">
        <v>458</v>
      </c>
      <c r="D92" s="1" t="s">
        <v>158</v>
      </c>
      <c r="E92" s="1" t="s">
        <v>159</v>
      </c>
      <c r="F92" s="1">
        <v>4</v>
      </c>
      <c r="G92" s="1">
        <v>16</v>
      </c>
      <c r="H92" s="1">
        <v>12</v>
      </c>
      <c r="I92" s="1"/>
      <c r="J92" s="1"/>
      <c r="K92" s="1" t="s">
        <v>519</v>
      </c>
    </row>
    <row r="93" spans="1:11" x14ac:dyDescent="0.25">
      <c r="A93" s="6">
        <v>46283</v>
      </c>
      <c r="B93" s="45">
        <v>0.8634722222222222</v>
      </c>
      <c r="C93" s="1" t="s">
        <v>458</v>
      </c>
      <c r="D93" s="1" t="s">
        <v>28</v>
      </c>
      <c r="E93" s="1" t="s">
        <v>107</v>
      </c>
      <c r="F93" s="1">
        <v>1</v>
      </c>
      <c r="G93" s="1">
        <v>28</v>
      </c>
      <c r="H93" s="1">
        <v>27</v>
      </c>
      <c r="I93" s="1"/>
      <c r="J93" s="1"/>
      <c r="K93" s="1" t="s">
        <v>519</v>
      </c>
    </row>
    <row r="94" spans="1:11" x14ac:dyDescent="0.25">
      <c r="A94" s="6">
        <v>46283</v>
      </c>
      <c r="B94" s="45">
        <v>0.8634722222222222</v>
      </c>
      <c r="C94" s="1" t="s">
        <v>458</v>
      </c>
      <c r="D94" s="1" t="s">
        <v>10</v>
      </c>
      <c r="E94" s="1" t="s">
        <v>15</v>
      </c>
      <c r="F94" s="1">
        <v>1</v>
      </c>
      <c r="G94" s="1">
        <v>48</v>
      </c>
      <c r="H94" s="1">
        <v>47</v>
      </c>
      <c r="I94" s="1"/>
      <c r="J94" s="1"/>
      <c r="K94" s="1" t="s">
        <v>519</v>
      </c>
    </row>
    <row r="95" spans="1:11" x14ac:dyDescent="0.25">
      <c r="A95" s="6">
        <v>46283</v>
      </c>
      <c r="B95" s="45">
        <v>0.88451388888888893</v>
      </c>
      <c r="C95" s="1" t="s">
        <v>458</v>
      </c>
      <c r="D95" s="1" t="s">
        <v>28</v>
      </c>
      <c r="E95" s="1" t="s">
        <v>107</v>
      </c>
      <c r="F95" s="1">
        <v>1</v>
      </c>
      <c r="G95" s="1">
        <v>27</v>
      </c>
      <c r="H95" s="1">
        <v>26</v>
      </c>
      <c r="I95" s="1"/>
      <c r="J95" s="1"/>
      <c r="K95" s="1" t="s">
        <v>520</v>
      </c>
    </row>
    <row r="96" spans="1:11" x14ac:dyDescent="0.25">
      <c r="A96" s="6">
        <v>46283</v>
      </c>
      <c r="B96" s="45">
        <v>0.88451388888888893</v>
      </c>
      <c r="C96" s="1" t="s">
        <v>458</v>
      </c>
      <c r="D96" s="1" t="s">
        <v>130</v>
      </c>
      <c r="E96" s="1" t="s">
        <v>132</v>
      </c>
      <c r="F96" s="1">
        <v>1</v>
      </c>
      <c r="G96" s="1">
        <v>100</v>
      </c>
      <c r="H96" s="1">
        <v>99</v>
      </c>
      <c r="I96" s="1"/>
      <c r="J96" s="1"/>
      <c r="K96" s="1" t="s">
        <v>520</v>
      </c>
    </row>
    <row r="97" spans="1:11" x14ac:dyDescent="0.25">
      <c r="A97" s="6">
        <v>46283</v>
      </c>
      <c r="B97" s="45">
        <v>0.90203703703703708</v>
      </c>
      <c r="C97" s="1" t="s">
        <v>458</v>
      </c>
      <c r="D97" s="1" t="s">
        <v>110</v>
      </c>
      <c r="E97" s="1" t="s">
        <v>115</v>
      </c>
      <c r="F97" s="1">
        <v>2</v>
      </c>
      <c r="G97" s="1">
        <v>17</v>
      </c>
      <c r="H97" s="1">
        <v>15</v>
      </c>
      <c r="I97" s="1"/>
      <c r="J97" s="1"/>
      <c r="K97" s="1" t="s">
        <v>525</v>
      </c>
    </row>
    <row r="98" spans="1:11" ht="30" x14ac:dyDescent="0.25">
      <c r="A98" s="6">
        <v>46283</v>
      </c>
      <c r="B98" s="45">
        <v>0.92684027777777778</v>
      </c>
      <c r="C98" s="1" t="s">
        <v>458</v>
      </c>
      <c r="D98" s="1" t="s">
        <v>131</v>
      </c>
      <c r="E98" s="1" t="s">
        <v>133</v>
      </c>
      <c r="F98" s="1">
        <v>1</v>
      </c>
      <c r="G98" s="1">
        <v>99</v>
      </c>
      <c r="H98" s="1">
        <v>98</v>
      </c>
      <c r="I98" s="1"/>
      <c r="J98" s="1"/>
      <c r="K98" s="1" t="s">
        <v>527</v>
      </c>
    </row>
    <row r="99" spans="1:11" x14ac:dyDescent="0.25">
      <c r="A99" s="6">
        <v>46283</v>
      </c>
      <c r="B99" s="45">
        <v>0.92684027777777778</v>
      </c>
      <c r="C99" s="1" t="s">
        <v>458</v>
      </c>
      <c r="D99" s="1" t="s">
        <v>130</v>
      </c>
      <c r="E99" s="1" t="s">
        <v>132</v>
      </c>
      <c r="F99" s="1">
        <v>1</v>
      </c>
      <c r="G99" s="1">
        <v>99</v>
      </c>
      <c r="H99" s="1">
        <v>98</v>
      </c>
      <c r="I99" s="1"/>
      <c r="J99" s="1"/>
      <c r="K99" s="1" t="s">
        <v>527</v>
      </c>
    </row>
    <row r="100" spans="1:11" x14ac:dyDescent="0.25">
      <c r="A100" s="6">
        <v>46283</v>
      </c>
      <c r="B100" s="45">
        <v>0.92684027777777778</v>
      </c>
      <c r="C100" s="1" t="s">
        <v>458</v>
      </c>
      <c r="D100" s="1" t="s">
        <v>24</v>
      </c>
      <c r="E100" s="1" t="s">
        <v>105</v>
      </c>
      <c r="F100" s="1">
        <v>1</v>
      </c>
      <c r="G100" s="1">
        <v>10</v>
      </c>
      <c r="H100" s="1">
        <v>9</v>
      </c>
      <c r="I100" s="1"/>
      <c r="J100" s="1"/>
      <c r="K100" s="1" t="s">
        <v>527</v>
      </c>
    </row>
    <row r="101" spans="1:11" x14ac:dyDescent="0.25">
      <c r="A101" s="6">
        <v>46283</v>
      </c>
      <c r="B101" s="45">
        <v>0.92684027777777778</v>
      </c>
      <c r="C101" s="1" t="s">
        <v>458</v>
      </c>
      <c r="D101" s="1" t="s">
        <v>301</v>
      </c>
      <c r="E101" s="1" t="s">
        <v>191</v>
      </c>
      <c r="F101" s="1">
        <v>1</v>
      </c>
      <c r="G101" s="1">
        <v>999</v>
      </c>
      <c r="H101" s="1">
        <v>998</v>
      </c>
      <c r="I101" s="1"/>
      <c r="J101" s="1"/>
      <c r="K101" s="1" t="s">
        <v>527</v>
      </c>
    </row>
    <row r="102" spans="1:11" x14ac:dyDescent="0.25">
      <c r="A102" s="6">
        <v>46283</v>
      </c>
      <c r="B102" s="45">
        <v>0.92982638888888891</v>
      </c>
      <c r="C102" s="1" t="s">
        <v>458</v>
      </c>
      <c r="D102" s="1" t="s">
        <v>190</v>
      </c>
      <c r="E102" s="1" t="s">
        <v>184</v>
      </c>
      <c r="F102" s="1">
        <v>1</v>
      </c>
      <c r="G102" s="1">
        <v>20</v>
      </c>
      <c r="H102" s="1">
        <v>19</v>
      </c>
      <c r="I102" s="1"/>
      <c r="J102" s="1"/>
      <c r="K102" s="1" t="s">
        <v>528</v>
      </c>
    </row>
    <row r="103" spans="1:11" x14ac:dyDescent="0.25">
      <c r="A103" s="6">
        <v>46283</v>
      </c>
      <c r="B103" s="45">
        <v>0.92991898148148144</v>
      </c>
      <c r="C103" s="1" t="s">
        <v>458</v>
      </c>
      <c r="D103" s="1" t="s">
        <v>110</v>
      </c>
      <c r="E103" s="1" t="s">
        <v>115</v>
      </c>
      <c r="F103" s="1">
        <v>1</v>
      </c>
      <c r="G103" s="1">
        <v>15</v>
      </c>
      <c r="H103" s="1">
        <v>14</v>
      </c>
      <c r="I103" s="1"/>
      <c r="J103" s="1"/>
      <c r="K103" s="1" t="s">
        <v>529</v>
      </c>
    </row>
    <row r="104" spans="1:11" ht="30" x14ac:dyDescent="0.25">
      <c r="A104" s="6">
        <v>46283</v>
      </c>
      <c r="B104" s="45">
        <v>0.93008101851851854</v>
      </c>
      <c r="C104" s="1" t="s">
        <v>458</v>
      </c>
      <c r="D104" s="1" t="s">
        <v>112</v>
      </c>
      <c r="E104" s="1" t="s">
        <v>114</v>
      </c>
      <c r="F104" s="1">
        <v>1</v>
      </c>
      <c r="G104" s="1">
        <v>20</v>
      </c>
      <c r="H104" s="1">
        <v>19</v>
      </c>
      <c r="I104" s="1"/>
      <c r="J104" s="1"/>
      <c r="K104" s="1" t="s">
        <v>530</v>
      </c>
    </row>
    <row r="105" spans="1:11" x14ac:dyDescent="0.25">
      <c r="A105" s="6">
        <v>46283</v>
      </c>
      <c r="B105" s="45">
        <v>0.93008101851851854</v>
      </c>
      <c r="C105" s="1" t="s">
        <v>458</v>
      </c>
      <c r="D105" s="1" t="s">
        <v>21</v>
      </c>
      <c r="E105" s="1" t="s">
        <v>5</v>
      </c>
      <c r="F105" s="1">
        <v>1</v>
      </c>
      <c r="G105" s="1">
        <v>993</v>
      </c>
      <c r="H105" s="1">
        <v>992</v>
      </c>
      <c r="I105" s="1"/>
      <c r="J105" s="1"/>
      <c r="K105" s="1" t="s">
        <v>530</v>
      </c>
    </row>
    <row r="106" spans="1:11" x14ac:dyDescent="0.25">
      <c r="A106" s="6">
        <v>46283</v>
      </c>
      <c r="B106" s="45">
        <v>0.93325231481481485</v>
      </c>
      <c r="C106" s="1" t="s">
        <v>458</v>
      </c>
      <c r="D106" s="1" t="s">
        <v>10</v>
      </c>
      <c r="E106" s="1" t="s">
        <v>15</v>
      </c>
      <c r="F106" s="1">
        <v>1</v>
      </c>
      <c r="G106" s="1">
        <v>47</v>
      </c>
      <c r="H106" s="1">
        <v>46</v>
      </c>
      <c r="I106" s="1"/>
      <c r="J106" s="1"/>
      <c r="K106" s="1" t="s">
        <v>531</v>
      </c>
    </row>
    <row r="107" spans="1:11" x14ac:dyDescent="0.25">
      <c r="A107" s="6">
        <v>46283</v>
      </c>
      <c r="B107" s="45">
        <v>0.93325231481481485</v>
      </c>
      <c r="C107" s="1" t="s">
        <v>458</v>
      </c>
      <c r="D107" s="1" t="s">
        <v>110</v>
      </c>
      <c r="E107" s="1" t="s">
        <v>115</v>
      </c>
      <c r="F107" s="1">
        <v>1</v>
      </c>
      <c r="G107" s="1">
        <v>14</v>
      </c>
      <c r="H107" s="1">
        <v>13</v>
      </c>
      <c r="I107" s="1"/>
      <c r="J107" s="1"/>
      <c r="K107" s="1" t="s">
        <v>531</v>
      </c>
    </row>
    <row r="108" spans="1:11" ht="30" x14ac:dyDescent="0.25">
      <c r="A108" s="6">
        <v>46283</v>
      </c>
      <c r="B108" s="45">
        <v>0.93815972222222221</v>
      </c>
      <c r="C108" s="1" t="s">
        <v>458</v>
      </c>
      <c r="D108" s="1" t="s">
        <v>113</v>
      </c>
      <c r="E108" s="1" t="s">
        <v>171</v>
      </c>
      <c r="F108" s="1">
        <v>1</v>
      </c>
      <c r="G108" s="1">
        <v>20</v>
      </c>
      <c r="H108" s="1">
        <v>19</v>
      </c>
      <c r="I108" s="1"/>
      <c r="J108" s="1"/>
      <c r="K108" s="1" t="s">
        <v>532</v>
      </c>
    </row>
    <row r="109" spans="1:11" ht="30" x14ac:dyDescent="0.25">
      <c r="A109" s="6">
        <v>46283</v>
      </c>
      <c r="B109" s="45">
        <v>0.93835648148148143</v>
      </c>
      <c r="C109" s="1" t="s">
        <v>458</v>
      </c>
      <c r="D109" s="1" t="s">
        <v>112</v>
      </c>
      <c r="E109" s="1" t="s">
        <v>114</v>
      </c>
      <c r="F109" s="1">
        <v>1</v>
      </c>
      <c r="G109" s="1">
        <v>19</v>
      </c>
      <c r="H109" s="1">
        <v>18</v>
      </c>
      <c r="I109" s="1"/>
      <c r="J109" s="1"/>
      <c r="K109" s="1" t="s">
        <v>533</v>
      </c>
    </row>
    <row r="110" spans="1:11" x14ac:dyDescent="0.25">
      <c r="A110" s="6">
        <v>46283</v>
      </c>
      <c r="B110" s="45">
        <v>0.93835648148148143</v>
      </c>
      <c r="C110" s="1" t="s">
        <v>458</v>
      </c>
      <c r="D110" s="1" t="s">
        <v>21</v>
      </c>
      <c r="E110" s="1" t="s">
        <v>5</v>
      </c>
      <c r="F110" s="1">
        <v>1</v>
      </c>
      <c r="G110" s="1">
        <v>992</v>
      </c>
      <c r="H110" s="1">
        <v>991</v>
      </c>
      <c r="I110" s="1"/>
      <c r="J110" s="1"/>
      <c r="K110" s="1" t="s">
        <v>533</v>
      </c>
    </row>
    <row r="111" spans="1:11" x14ac:dyDescent="0.25">
      <c r="A111" s="6">
        <v>46283</v>
      </c>
      <c r="B111" s="45">
        <v>0.93835648148148143</v>
      </c>
      <c r="C111" s="1" t="s">
        <v>458</v>
      </c>
      <c r="D111" s="1" t="s">
        <v>130</v>
      </c>
      <c r="E111" s="1" t="s">
        <v>132</v>
      </c>
      <c r="F111" s="1">
        <v>1</v>
      </c>
      <c r="G111" s="1">
        <v>98</v>
      </c>
      <c r="H111" s="1">
        <v>97</v>
      </c>
      <c r="I111" s="1"/>
      <c r="J111" s="1"/>
      <c r="K111" s="1" t="s">
        <v>533</v>
      </c>
    </row>
    <row r="112" spans="1:11" ht="30" x14ac:dyDescent="0.25">
      <c r="A112" s="6">
        <v>46283</v>
      </c>
      <c r="B112" s="45">
        <v>0.96261574074074074</v>
      </c>
      <c r="C112" s="1" t="s">
        <v>458</v>
      </c>
      <c r="D112" s="1" t="s">
        <v>113</v>
      </c>
      <c r="E112" s="1" t="s">
        <v>171</v>
      </c>
      <c r="F112" s="1">
        <v>1</v>
      </c>
      <c r="G112" s="1">
        <v>19</v>
      </c>
      <c r="H112" s="1">
        <v>18</v>
      </c>
      <c r="I112" s="1"/>
      <c r="J112" s="1"/>
      <c r="K112" s="1" t="s">
        <v>534</v>
      </c>
    </row>
    <row r="113" spans="1:11" x14ac:dyDescent="0.25">
      <c r="A113" s="6">
        <v>46283</v>
      </c>
      <c r="B113" s="45">
        <v>0.97515046296296293</v>
      </c>
      <c r="C113" s="1" t="s">
        <v>458</v>
      </c>
      <c r="D113" s="1" t="s">
        <v>182</v>
      </c>
      <c r="E113" s="1" t="s">
        <v>183</v>
      </c>
      <c r="F113" s="1">
        <v>1</v>
      </c>
      <c r="G113" s="1">
        <v>15</v>
      </c>
      <c r="H113" s="1">
        <v>14</v>
      </c>
      <c r="I113" s="1"/>
      <c r="J113" s="1"/>
      <c r="K113" s="1" t="s">
        <v>535</v>
      </c>
    </row>
    <row r="114" spans="1:11" x14ac:dyDescent="0.25">
      <c r="A114" s="6">
        <v>46283</v>
      </c>
      <c r="B114" s="45">
        <v>0.98075231481481484</v>
      </c>
      <c r="C114" s="1" t="s">
        <v>458</v>
      </c>
      <c r="D114" s="1" t="s">
        <v>65</v>
      </c>
      <c r="E114" s="1" t="s">
        <v>16</v>
      </c>
      <c r="F114" s="1">
        <v>1</v>
      </c>
      <c r="G114" s="1">
        <v>67</v>
      </c>
      <c r="H114" s="1">
        <v>66</v>
      </c>
      <c r="I114" s="1"/>
      <c r="J114" s="1"/>
      <c r="K114" s="1" t="s">
        <v>536</v>
      </c>
    </row>
    <row r="115" spans="1:11" x14ac:dyDescent="0.25">
      <c r="A115" s="6">
        <v>46283</v>
      </c>
      <c r="B115" s="45">
        <v>0.98107638888888893</v>
      </c>
      <c r="C115" s="1" t="s">
        <v>458</v>
      </c>
      <c r="D115" s="1" t="s">
        <v>65</v>
      </c>
      <c r="E115" s="1" t="s">
        <v>16</v>
      </c>
      <c r="F115" s="1">
        <v>1</v>
      </c>
      <c r="G115" s="1">
        <v>66</v>
      </c>
      <c r="H115" s="1">
        <v>65</v>
      </c>
      <c r="I115" s="1"/>
      <c r="J115" s="1"/>
      <c r="K115" s="1" t="s">
        <v>537</v>
      </c>
    </row>
    <row r="116" spans="1:11" x14ac:dyDescent="0.25">
      <c r="A116" s="6">
        <v>46283</v>
      </c>
      <c r="B116" s="45">
        <v>0.98932870370370374</v>
      </c>
      <c r="C116" s="1" t="s">
        <v>458</v>
      </c>
      <c r="D116" s="1" t="s">
        <v>130</v>
      </c>
      <c r="E116" s="1" t="s">
        <v>132</v>
      </c>
      <c r="F116" s="1">
        <v>2</v>
      </c>
      <c r="G116" s="1">
        <v>97</v>
      </c>
      <c r="H116" s="1">
        <v>95</v>
      </c>
      <c r="I116" s="1"/>
      <c r="J116" s="1"/>
      <c r="K116" s="1" t="s">
        <v>538</v>
      </c>
    </row>
    <row r="117" spans="1:11" x14ac:dyDescent="0.25">
      <c r="A117" s="6">
        <v>46284</v>
      </c>
      <c r="B117" s="45">
        <v>1.0810185185185185E-2</v>
      </c>
      <c r="C117" s="1" t="s">
        <v>458</v>
      </c>
      <c r="D117" s="1" t="s">
        <v>31</v>
      </c>
      <c r="E117" s="1" t="s">
        <v>109</v>
      </c>
      <c r="F117" s="1">
        <v>1</v>
      </c>
      <c r="G117" s="1">
        <v>9</v>
      </c>
      <c r="H117" s="1">
        <v>8</v>
      </c>
      <c r="I117" s="1"/>
      <c r="J117" s="1"/>
      <c r="K117" s="1" t="s">
        <v>539</v>
      </c>
    </row>
    <row r="118" spans="1:11" x14ac:dyDescent="0.25">
      <c r="A118" s="6">
        <v>46284</v>
      </c>
      <c r="B118" s="45">
        <v>1.0810185185185185E-2</v>
      </c>
      <c r="C118" s="1" t="s">
        <v>458</v>
      </c>
      <c r="D118" s="1" t="s">
        <v>24</v>
      </c>
      <c r="E118" s="1" t="s">
        <v>105</v>
      </c>
      <c r="F118" s="1">
        <v>1</v>
      </c>
      <c r="G118" s="1">
        <v>9</v>
      </c>
      <c r="H118" s="1">
        <v>8</v>
      </c>
      <c r="I118" s="1"/>
      <c r="J118" s="1"/>
      <c r="K118" s="1" t="s">
        <v>539</v>
      </c>
    </row>
    <row r="119" spans="1:11" x14ac:dyDescent="0.25">
      <c r="A119" s="6">
        <v>46284</v>
      </c>
      <c r="B119" s="45">
        <v>3.1284722222222221E-2</v>
      </c>
      <c r="C119" s="1" t="s">
        <v>458</v>
      </c>
      <c r="D119" s="1" t="s">
        <v>186</v>
      </c>
      <c r="E119" s="1" t="s">
        <v>187</v>
      </c>
      <c r="F119" s="1">
        <v>2</v>
      </c>
      <c r="G119" s="1">
        <v>20</v>
      </c>
      <c r="H119" s="1">
        <v>18</v>
      </c>
      <c r="I119" s="1"/>
      <c r="J119" s="1"/>
      <c r="K119" s="1" t="s">
        <v>540</v>
      </c>
    </row>
    <row r="120" spans="1:11" x14ac:dyDescent="0.25">
      <c r="A120" s="6">
        <v>46284</v>
      </c>
      <c r="B120" s="45">
        <v>3.1284722222222221E-2</v>
      </c>
      <c r="C120" s="1" t="s">
        <v>458</v>
      </c>
      <c r="D120" s="1" t="s">
        <v>30</v>
      </c>
      <c r="E120" s="1" t="s">
        <v>108</v>
      </c>
      <c r="F120" s="1">
        <v>1</v>
      </c>
      <c r="G120" s="1">
        <v>15</v>
      </c>
      <c r="H120" s="1">
        <v>14</v>
      </c>
      <c r="I120" s="1"/>
      <c r="J120" s="1"/>
      <c r="K120" s="1" t="s">
        <v>540</v>
      </c>
    </row>
    <row r="121" spans="1:11" x14ac:dyDescent="0.25">
      <c r="A121" s="6">
        <v>46284</v>
      </c>
      <c r="B121" s="45">
        <v>3.1284722222222221E-2</v>
      </c>
      <c r="C121" s="1" t="s">
        <v>458</v>
      </c>
      <c r="D121" s="1" t="s">
        <v>28</v>
      </c>
      <c r="E121" s="1" t="s">
        <v>107</v>
      </c>
      <c r="F121" s="1">
        <v>2</v>
      </c>
      <c r="G121" s="1">
        <v>26</v>
      </c>
      <c r="H121" s="1">
        <v>24</v>
      </c>
      <c r="I121" s="1"/>
      <c r="J121" s="1"/>
      <c r="K121" s="1" t="s">
        <v>540</v>
      </c>
    </row>
    <row r="122" spans="1:11" x14ac:dyDescent="0.25">
      <c r="A122" s="6">
        <v>46284</v>
      </c>
      <c r="B122" s="45">
        <v>3.1284722222222221E-2</v>
      </c>
      <c r="C122" s="1" t="s">
        <v>458</v>
      </c>
      <c r="D122" s="1" t="s">
        <v>21</v>
      </c>
      <c r="E122" s="1" t="s">
        <v>5</v>
      </c>
      <c r="F122" s="1">
        <v>2</v>
      </c>
      <c r="G122" s="1">
        <v>991</v>
      </c>
      <c r="H122" s="1">
        <v>989</v>
      </c>
      <c r="I122" s="1"/>
      <c r="J122" s="1"/>
      <c r="K122" s="1" t="s">
        <v>540</v>
      </c>
    </row>
    <row r="123" spans="1:11" x14ac:dyDescent="0.25">
      <c r="A123" s="6">
        <v>46284</v>
      </c>
      <c r="B123" s="45">
        <v>3.1284722222222221E-2</v>
      </c>
      <c r="C123" s="1" t="s">
        <v>458</v>
      </c>
      <c r="D123" s="1" t="s">
        <v>182</v>
      </c>
      <c r="E123" s="1" t="s">
        <v>183</v>
      </c>
      <c r="F123" s="1">
        <v>3</v>
      </c>
      <c r="G123" s="1">
        <v>14</v>
      </c>
      <c r="H123" s="1">
        <v>11</v>
      </c>
      <c r="I123" s="1"/>
      <c r="J123" s="1"/>
      <c r="K123" s="1" t="s">
        <v>540</v>
      </c>
    </row>
    <row r="124" spans="1:11" x14ac:dyDescent="0.25">
      <c r="A124" s="6">
        <v>46284</v>
      </c>
      <c r="B124" s="45">
        <v>3.1284722222222221E-2</v>
      </c>
      <c r="C124" s="1" t="s">
        <v>458</v>
      </c>
      <c r="D124" s="1" t="s">
        <v>24</v>
      </c>
      <c r="E124" s="1" t="s">
        <v>105</v>
      </c>
      <c r="F124" s="1">
        <v>1</v>
      </c>
      <c r="G124" s="1">
        <v>8</v>
      </c>
      <c r="H124" s="1">
        <v>7</v>
      </c>
      <c r="I124" s="1"/>
      <c r="J124" s="1"/>
      <c r="K124" s="1" t="s">
        <v>540</v>
      </c>
    </row>
    <row r="125" spans="1:11" x14ac:dyDescent="0.25">
      <c r="A125" s="6">
        <v>46284</v>
      </c>
      <c r="B125" s="45">
        <v>3.1284722222222221E-2</v>
      </c>
      <c r="C125" s="1" t="s">
        <v>458</v>
      </c>
      <c r="D125" s="1" t="s">
        <v>65</v>
      </c>
      <c r="E125" s="1" t="s">
        <v>16</v>
      </c>
      <c r="F125" s="1">
        <v>4</v>
      </c>
      <c r="G125" s="1">
        <v>65</v>
      </c>
      <c r="H125" s="1">
        <v>61</v>
      </c>
      <c r="I125" s="1"/>
      <c r="J125" s="1"/>
      <c r="K125" s="1" t="s">
        <v>540</v>
      </c>
    </row>
    <row r="126" spans="1:11" x14ac:dyDescent="0.25">
      <c r="A126" s="6">
        <v>46284</v>
      </c>
      <c r="B126" s="45">
        <v>3.2337962962962964E-2</v>
      </c>
      <c r="C126" s="1" t="s">
        <v>458</v>
      </c>
      <c r="D126" s="1" t="s">
        <v>517</v>
      </c>
      <c r="E126" s="1" t="s">
        <v>518</v>
      </c>
      <c r="F126" s="1">
        <v>2</v>
      </c>
      <c r="G126" s="1">
        <v>1000</v>
      </c>
      <c r="H126" s="1">
        <v>998</v>
      </c>
      <c r="I126" s="1"/>
      <c r="J126" s="1"/>
      <c r="K126" s="1" t="s">
        <v>541</v>
      </c>
    </row>
    <row r="127" spans="1:11" x14ac:dyDescent="0.25">
      <c r="A127" s="6">
        <v>46284</v>
      </c>
      <c r="B127" s="45">
        <v>3.3506944444444443E-2</v>
      </c>
      <c r="C127" s="1" t="s">
        <v>458</v>
      </c>
      <c r="D127" s="1" t="s">
        <v>65</v>
      </c>
      <c r="E127" s="1" t="s">
        <v>16</v>
      </c>
      <c r="F127" s="1">
        <v>1</v>
      </c>
      <c r="G127" s="1">
        <v>61</v>
      </c>
      <c r="H127" s="1">
        <v>60</v>
      </c>
      <c r="I127" s="1"/>
      <c r="J127" s="1"/>
      <c r="K127" s="1" t="s">
        <v>542</v>
      </c>
    </row>
    <row r="128" spans="1:11" x14ac:dyDescent="0.25">
      <c r="A128" s="6">
        <v>46284</v>
      </c>
      <c r="B128" s="45">
        <v>3.3506944444444443E-2</v>
      </c>
      <c r="C128" s="1" t="s">
        <v>458</v>
      </c>
      <c r="D128" s="1" t="s">
        <v>24</v>
      </c>
      <c r="E128" s="1" t="s">
        <v>105</v>
      </c>
      <c r="F128" s="1">
        <v>2</v>
      </c>
      <c r="G128" s="1">
        <v>7</v>
      </c>
      <c r="H128" s="1">
        <v>5</v>
      </c>
      <c r="I128" s="1"/>
      <c r="J128" s="1"/>
      <c r="K128" s="1" t="s">
        <v>542</v>
      </c>
    </row>
    <row r="129" spans="1:11" x14ac:dyDescent="0.25">
      <c r="A129" s="6">
        <v>46284</v>
      </c>
      <c r="B129" s="45">
        <v>3.9328703703703706E-2</v>
      </c>
      <c r="C129" s="1" t="s">
        <v>458</v>
      </c>
      <c r="D129" s="1" t="s">
        <v>110</v>
      </c>
      <c r="E129" s="1" t="s">
        <v>115</v>
      </c>
      <c r="F129" s="1">
        <v>1</v>
      </c>
      <c r="G129" s="1">
        <v>13</v>
      </c>
      <c r="H129" s="1">
        <v>12</v>
      </c>
      <c r="I129" s="1"/>
      <c r="J129" s="1"/>
      <c r="K129" s="1" t="s">
        <v>543</v>
      </c>
    </row>
    <row r="130" spans="1:11" x14ac:dyDescent="0.25">
      <c r="A130" s="6">
        <v>46284</v>
      </c>
      <c r="B130" s="45">
        <v>4.0567129629629627E-2</v>
      </c>
      <c r="C130" s="1" t="s">
        <v>458</v>
      </c>
      <c r="D130" s="1" t="s">
        <v>22</v>
      </c>
      <c r="E130" s="1" t="s">
        <v>104</v>
      </c>
      <c r="F130" s="1">
        <v>2</v>
      </c>
      <c r="G130" s="1">
        <v>18</v>
      </c>
      <c r="H130" s="1">
        <v>16</v>
      </c>
      <c r="I130" s="1"/>
      <c r="J130" s="1"/>
      <c r="K130" s="1" t="s">
        <v>544</v>
      </c>
    </row>
    <row r="131" spans="1:11" x14ac:dyDescent="0.25">
      <c r="A131" s="6">
        <v>46284</v>
      </c>
      <c r="B131" s="45">
        <v>4.1458333333333333E-2</v>
      </c>
      <c r="C131" s="1" t="s">
        <v>458</v>
      </c>
      <c r="D131" s="1" t="s">
        <v>22</v>
      </c>
      <c r="E131" s="1" t="s">
        <v>104</v>
      </c>
      <c r="F131" s="1">
        <v>1</v>
      </c>
      <c r="G131" s="1">
        <v>16</v>
      </c>
      <c r="H131" s="1">
        <v>15</v>
      </c>
      <c r="I131" s="1"/>
      <c r="J131" s="1"/>
      <c r="K131" s="1" t="s">
        <v>545</v>
      </c>
    </row>
    <row r="132" spans="1:11" x14ac:dyDescent="0.25">
      <c r="A132" s="6">
        <v>46284</v>
      </c>
      <c r="B132" s="45">
        <v>4.1458333333333333E-2</v>
      </c>
      <c r="C132" s="1" t="s">
        <v>458</v>
      </c>
      <c r="D132" s="1" t="s">
        <v>301</v>
      </c>
      <c r="E132" s="1" t="s">
        <v>191</v>
      </c>
      <c r="F132" s="1">
        <v>1</v>
      </c>
      <c r="G132" s="1">
        <v>998</v>
      </c>
      <c r="H132" s="1">
        <v>997</v>
      </c>
      <c r="I132" s="1"/>
      <c r="J132" s="1"/>
      <c r="K132" s="1" t="s">
        <v>545</v>
      </c>
    </row>
    <row r="133" spans="1:11" x14ac:dyDescent="0.25">
      <c r="A133" s="6">
        <v>46284</v>
      </c>
      <c r="B133" s="45">
        <v>4.1458333333333333E-2</v>
      </c>
      <c r="C133" s="1" t="s">
        <v>458</v>
      </c>
      <c r="D133" s="1" t="s">
        <v>32</v>
      </c>
      <c r="E133" s="1" t="s">
        <v>9</v>
      </c>
      <c r="F133" s="1">
        <v>2</v>
      </c>
      <c r="G133" s="1">
        <v>48</v>
      </c>
      <c r="H133" s="1">
        <v>46</v>
      </c>
      <c r="I133" s="1"/>
      <c r="J133" s="1"/>
      <c r="K133" s="1" t="s">
        <v>545</v>
      </c>
    </row>
    <row r="134" spans="1:11" x14ac:dyDescent="0.25">
      <c r="A134" s="6">
        <v>46284</v>
      </c>
      <c r="B134" s="45">
        <v>4.2511574074074077E-2</v>
      </c>
      <c r="C134" s="1" t="s">
        <v>458</v>
      </c>
      <c r="D134" s="1" t="s">
        <v>158</v>
      </c>
      <c r="E134" s="1" t="s">
        <v>159</v>
      </c>
      <c r="F134" s="1">
        <v>5</v>
      </c>
      <c r="G134" s="1">
        <v>12</v>
      </c>
      <c r="H134" s="1">
        <v>7</v>
      </c>
      <c r="I134" s="1"/>
      <c r="J134" s="1"/>
      <c r="K134" s="1" t="s">
        <v>546</v>
      </c>
    </row>
    <row r="135" spans="1:11" ht="30" x14ac:dyDescent="0.25">
      <c r="A135" s="6">
        <v>46284</v>
      </c>
      <c r="B135" s="45">
        <v>6.2245370370370368E-2</v>
      </c>
      <c r="C135" s="1" t="s">
        <v>458</v>
      </c>
      <c r="D135" s="1" t="s">
        <v>113</v>
      </c>
      <c r="E135" s="1" t="s">
        <v>171</v>
      </c>
      <c r="F135" s="1">
        <v>1</v>
      </c>
      <c r="G135" s="1">
        <v>18</v>
      </c>
      <c r="H135" s="1">
        <v>17</v>
      </c>
      <c r="I135" s="1"/>
      <c r="J135" s="1"/>
      <c r="K135" s="1" t="s">
        <v>547</v>
      </c>
    </row>
    <row r="136" spans="1:11" x14ac:dyDescent="0.25">
      <c r="A136" s="6">
        <v>46284</v>
      </c>
      <c r="B136" s="45">
        <v>8.4027777777777785E-2</v>
      </c>
      <c r="C136" s="1" t="s">
        <v>458</v>
      </c>
      <c r="D136" s="1" t="s">
        <v>22</v>
      </c>
      <c r="E136" s="1" t="s">
        <v>104</v>
      </c>
      <c r="F136" s="1">
        <v>1</v>
      </c>
      <c r="G136" s="1">
        <v>15</v>
      </c>
      <c r="H136" s="1">
        <v>14</v>
      </c>
      <c r="I136" s="1"/>
      <c r="J136" s="1"/>
      <c r="K136" s="1" t="s">
        <v>548</v>
      </c>
    </row>
    <row r="137" spans="1:11" x14ac:dyDescent="0.25">
      <c r="A137" s="6">
        <v>46284</v>
      </c>
      <c r="B137" s="45">
        <v>8.4027777777777785E-2</v>
      </c>
      <c r="C137" s="1" t="s">
        <v>458</v>
      </c>
      <c r="D137" s="1" t="s">
        <v>24</v>
      </c>
      <c r="E137" s="1" t="s">
        <v>105</v>
      </c>
      <c r="F137" s="1">
        <v>1</v>
      </c>
      <c r="G137" s="1">
        <v>5</v>
      </c>
      <c r="H137" s="1">
        <v>4</v>
      </c>
      <c r="I137" s="1"/>
      <c r="J137" s="1"/>
      <c r="K137" s="1" t="s">
        <v>548</v>
      </c>
    </row>
    <row r="138" spans="1:11" ht="30" x14ac:dyDescent="0.25">
      <c r="A138" s="6">
        <v>46284</v>
      </c>
      <c r="B138" s="45">
        <v>8.4027777777777785E-2</v>
      </c>
      <c r="C138" s="1" t="s">
        <v>458</v>
      </c>
      <c r="D138" s="1" t="s">
        <v>27</v>
      </c>
      <c r="E138" s="1" t="s">
        <v>106</v>
      </c>
      <c r="F138" s="1">
        <v>1</v>
      </c>
      <c r="G138" s="1">
        <v>15</v>
      </c>
      <c r="H138" s="1">
        <v>14</v>
      </c>
      <c r="I138" s="1"/>
      <c r="J138" s="1"/>
      <c r="K138" s="1" t="s">
        <v>548</v>
      </c>
    </row>
    <row r="139" spans="1:11" x14ac:dyDescent="0.25">
      <c r="A139" s="6">
        <v>46284</v>
      </c>
      <c r="B139" s="45">
        <v>8.4027777777777785E-2</v>
      </c>
      <c r="C139" s="1" t="s">
        <v>458</v>
      </c>
      <c r="D139" s="1" t="s">
        <v>186</v>
      </c>
      <c r="E139" s="1" t="s">
        <v>187</v>
      </c>
      <c r="F139" s="1">
        <v>2</v>
      </c>
      <c r="G139" s="1">
        <v>18</v>
      </c>
      <c r="H139" s="1">
        <v>16</v>
      </c>
      <c r="I139" s="1"/>
      <c r="J139" s="1"/>
      <c r="K139" s="1" t="s">
        <v>548</v>
      </c>
    </row>
    <row r="140" spans="1:11" x14ac:dyDescent="0.25">
      <c r="A140" s="6">
        <v>46284</v>
      </c>
      <c r="B140" s="45">
        <v>8.4027777777777785E-2</v>
      </c>
      <c r="C140" s="1" t="s">
        <v>458</v>
      </c>
      <c r="D140" s="1" t="s">
        <v>65</v>
      </c>
      <c r="E140" s="1" t="s">
        <v>16</v>
      </c>
      <c r="F140" s="1">
        <v>1</v>
      </c>
      <c r="G140" s="1">
        <v>60</v>
      </c>
      <c r="H140" s="1">
        <v>59</v>
      </c>
      <c r="I140" s="1"/>
      <c r="J140" s="1"/>
      <c r="K140" s="1" t="s">
        <v>548</v>
      </c>
    </row>
    <row r="141" spans="1:11" x14ac:dyDescent="0.25">
      <c r="A141" s="6">
        <v>46284</v>
      </c>
      <c r="B141" s="45">
        <v>8.4027777777777785E-2</v>
      </c>
      <c r="C141" s="1" t="s">
        <v>458</v>
      </c>
      <c r="D141" s="1" t="s">
        <v>182</v>
      </c>
      <c r="E141" s="1" t="s">
        <v>183</v>
      </c>
      <c r="F141" s="1">
        <v>1</v>
      </c>
      <c r="G141" s="1">
        <v>11</v>
      </c>
      <c r="H141" s="1">
        <v>10</v>
      </c>
      <c r="I141" s="1"/>
      <c r="J141" s="1"/>
      <c r="K141" s="1" t="s">
        <v>548</v>
      </c>
    </row>
    <row r="142" spans="1:11" x14ac:dyDescent="0.25">
      <c r="A142" s="6">
        <v>46284</v>
      </c>
      <c r="B142" s="45">
        <v>8.4027777777777785E-2</v>
      </c>
      <c r="C142" s="1" t="s">
        <v>458</v>
      </c>
      <c r="D142" s="1" t="s">
        <v>33</v>
      </c>
      <c r="E142" s="1" t="s">
        <v>17</v>
      </c>
      <c r="F142" s="1">
        <v>6</v>
      </c>
      <c r="G142" s="1">
        <v>100</v>
      </c>
      <c r="H142" s="1">
        <v>94</v>
      </c>
      <c r="I142" s="1"/>
      <c r="J142" s="1"/>
      <c r="K142" s="1" t="s">
        <v>548</v>
      </c>
    </row>
    <row r="143" spans="1:11" x14ac:dyDescent="0.25">
      <c r="A143" s="6">
        <v>46284</v>
      </c>
      <c r="B143" s="45">
        <v>8.5601851851851846E-2</v>
      </c>
      <c r="C143" s="1" t="s">
        <v>458</v>
      </c>
      <c r="D143" s="1" t="s">
        <v>182</v>
      </c>
      <c r="E143" s="1" t="s">
        <v>183</v>
      </c>
      <c r="F143" s="1">
        <v>1</v>
      </c>
      <c r="G143" s="1">
        <v>10</v>
      </c>
      <c r="H143" s="1">
        <v>9</v>
      </c>
      <c r="I143" s="1"/>
      <c r="J143" s="1"/>
      <c r="K143" s="1" t="s">
        <v>549</v>
      </c>
    </row>
    <row r="144" spans="1:11" x14ac:dyDescent="0.25">
      <c r="A144" s="6">
        <v>46284</v>
      </c>
      <c r="B144" s="45">
        <v>0.64774305555555556</v>
      </c>
      <c r="C144" s="1" t="s">
        <v>458</v>
      </c>
      <c r="D144" s="1" t="s">
        <v>24</v>
      </c>
      <c r="E144" s="1" t="s">
        <v>105</v>
      </c>
      <c r="F144" s="1">
        <v>1</v>
      </c>
      <c r="G144" s="1">
        <v>4</v>
      </c>
      <c r="H144" s="1">
        <v>3</v>
      </c>
      <c r="I144" s="1"/>
      <c r="J144" s="1"/>
      <c r="K144" s="1" t="s">
        <v>550</v>
      </c>
    </row>
    <row r="145" spans="1:11" x14ac:dyDescent="0.25">
      <c r="A145" s="6">
        <v>46284</v>
      </c>
      <c r="B145" s="45">
        <v>0.64774305555555556</v>
      </c>
      <c r="C145" s="1" t="s">
        <v>458</v>
      </c>
      <c r="D145" s="1" t="s">
        <v>302</v>
      </c>
      <c r="E145" s="1" t="s">
        <v>161</v>
      </c>
      <c r="F145" s="1">
        <v>6</v>
      </c>
      <c r="G145" s="1">
        <v>30</v>
      </c>
      <c r="H145" s="1">
        <v>24</v>
      </c>
      <c r="I145" s="1"/>
      <c r="J145" s="1"/>
      <c r="K145" s="1" t="s">
        <v>550</v>
      </c>
    </row>
    <row r="146" spans="1:11" x14ac:dyDescent="0.25">
      <c r="A146" s="6">
        <v>46284</v>
      </c>
      <c r="B146" s="45">
        <v>0.65565972222222224</v>
      </c>
      <c r="C146" s="1" t="s">
        <v>300</v>
      </c>
      <c r="D146" s="1" t="s">
        <v>28</v>
      </c>
      <c r="E146" s="1" t="s">
        <v>107</v>
      </c>
      <c r="F146" s="1">
        <v>30</v>
      </c>
      <c r="G146" s="1">
        <v>24</v>
      </c>
      <c r="H146" s="1">
        <v>54</v>
      </c>
      <c r="I146" s="1"/>
      <c r="J146" s="1"/>
      <c r="K146" s="1"/>
    </row>
    <row r="147" spans="1:11" x14ac:dyDescent="0.25">
      <c r="A147" s="6">
        <v>46284</v>
      </c>
      <c r="B147" s="45">
        <v>0.65591435185185187</v>
      </c>
      <c r="C147" s="1" t="s">
        <v>300</v>
      </c>
      <c r="D147" s="1" t="s">
        <v>24</v>
      </c>
      <c r="E147" s="1" t="s">
        <v>105</v>
      </c>
      <c r="F147" s="1">
        <v>30</v>
      </c>
      <c r="G147" s="1">
        <v>3</v>
      </c>
      <c r="H147" s="1">
        <v>33</v>
      </c>
      <c r="I147" s="1"/>
      <c r="J147" s="1"/>
      <c r="K147" s="1"/>
    </row>
    <row r="148" spans="1:11" x14ac:dyDescent="0.25">
      <c r="A148" s="6">
        <v>46284</v>
      </c>
      <c r="B148" s="45">
        <v>0.66178240740740746</v>
      </c>
      <c r="C148" s="1" t="s">
        <v>300</v>
      </c>
      <c r="D148" s="1" t="s">
        <v>33</v>
      </c>
      <c r="E148" s="1" t="s">
        <v>17</v>
      </c>
      <c r="F148" s="1">
        <v>10</v>
      </c>
      <c r="G148" s="1">
        <v>94</v>
      </c>
      <c r="H148" s="1">
        <v>104</v>
      </c>
      <c r="I148" s="1"/>
      <c r="J148" s="1"/>
      <c r="K148" s="1"/>
    </row>
    <row r="149" spans="1:11" x14ac:dyDescent="0.25">
      <c r="A149" s="6">
        <v>46284</v>
      </c>
      <c r="B149" s="45">
        <v>0.72074074074074079</v>
      </c>
      <c r="C149" s="1" t="s">
        <v>300</v>
      </c>
      <c r="D149" s="1" t="s">
        <v>65</v>
      </c>
      <c r="E149" s="1" t="s">
        <v>16</v>
      </c>
      <c r="F149" s="1">
        <v>24</v>
      </c>
      <c r="G149" s="1">
        <v>59</v>
      </c>
      <c r="H149" s="1">
        <v>83</v>
      </c>
      <c r="I149" s="1"/>
      <c r="J149" s="1"/>
      <c r="K149" s="1"/>
    </row>
    <row r="150" spans="1:11" x14ac:dyDescent="0.25">
      <c r="A150" s="6">
        <v>46284</v>
      </c>
      <c r="B150" s="45">
        <v>0.87062499999999998</v>
      </c>
      <c r="C150" s="1" t="s">
        <v>458</v>
      </c>
      <c r="D150" s="1" t="s">
        <v>28</v>
      </c>
      <c r="E150" s="1" t="s">
        <v>107</v>
      </c>
      <c r="F150" s="1">
        <v>1</v>
      </c>
      <c r="G150" s="1">
        <v>54</v>
      </c>
      <c r="H150" s="1">
        <v>53</v>
      </c>
      <c r="I150" s="1"/>
      <c r="J150" s="1"/>
      <c r="K150" s="1" t="s">
        <v>558</v>
      </c>
    </row>
    <row r="151" spans="1:11" x14ac:dyDescent="0.25">
      <c r="A151" s="6">
        <v>46284</v>
      </c>
      <c r="B151" s="45">
        <v>0.87062499999999998</v>
      </c>
      <c r="C151" s="1" t="s">
        <v>458</v>
      </c>
      <c r="D151" s="1" t="s">
        <v>182</v>
      </c>
      <c r="E151" s="1" t="s">
        <v>183</v>
      </c>
      <c r="F151" s="1">
        <v>4</v>
      </c>
      <c r="G151" s="1">
        <v>9</v>
      </c>
      <c r="H151" s="1">
        <v>5</v>
      </c>
      <c r="I151" s="1"/>
      <c r="J151" s="1"/>
      <c r="K151" s="1" t="s">
        <v>558</v>
      </c>
    </row>
    <row r="152" spans="1:11" x14ac:dyDescent="0.25">
      <c r="A152" s="6">
        <v>46284</v>
      </c>
      <c r="B152" s="45">
        <v>0.87062499999999998</v>
      </c>
      <c r="C152" s="1" t="s">
        <v>458</v>
      </c>
      <c r="D152" s="1" t="s">
        <v>517</v>
      </c>
      <c r="E152" s="1" t="s">
        <v>518</v>
      </c>
      <c r="F152" s="1">
        <v>1</v>
      </c>
      <c r="G152" s="1">
        <v>998</v>
      </c>
      <c r="H152" s="1">
        <v>997</v>
      </c>
      <c r="I152" s="1"/>
      <c r="J152" s="1"/>
      <c r="K152" s="1" t="s">
        <v>558</v>
      </c>
    </row>
    <row r="153" spans="1:11" x14ac:dyDescent="0.25">
      <c r="A153" s="6">
        <v>46284</v>
      </c>
      <c r="B153" s="45">
        <v>0.87062499999999998</v>
      </c>
      <c r="C153" s="1" t="s">
        <v>458</v>
      </c>
      <c r="D153" s="1" t="s">
        <v>65</v>
      </c>
      <c r="E153" s="1" t="s">
        <v>16</v>
      </c>
      <c r="F153" s="1">
        <v>1</v>
      </c>
      <c r="G153" s="1">
        <v>83</v>
      </c>
      <c r="H153" s="1">
        <v>82</v>
      </c>
      <c r="I153" s="1"/>
      <c r="J153" s="1"/>
      <c r="K153" s="1" t="s">
        <v>558</v>
      </c>
    </row>
    <row r="154" spans="1:11" ht="30" x14ac:dyDescent="0.25">
      <c r="A154" s="6">
        <v>46284</v>
      </c>
      <c r="B154" s="45">
        <v>0.88320601851851854</v>
      </c>
      <c r="C154" s="1" t="s">
        <v>458</v>
      </c>
      <c r="D154" s="1" t="s">
        <v>112</v>
      </c>
      <c r="E154" s="1" t="s">
        <v>114</v>
      </c>
      <c r="F154" s="1">
        <v>1</v>
      </c>
      <c r="G154" s="1">
        <v>18</v>
      </c>
      <c r="H154" s="1">
        <v>17</v>
      </c>
      <c r="I154" s="1"/>
      <c r="J154" s="1"/>
      <c r="K154" s="1" t="s">
        <v>559</v>
      </c>
    </row>
    <row r="155" spans="1:11" ht="30" x14ac:dyDescent="0.25">
      <c r="A155" s="6">
        <v>46284</v>
      </c>
      <c r="B155" s="45">
        <v>0.88320601851851854</v>
      </c>
      <c r="C155" s="1" t="s">
        <v>458</v>
      </c>
      <c r="D155" s="1" t="s">
        <v>113</v>
      </c>
      <c r="E155" s="1" t="s">
        <v>171</v>
      </c>
      <c r="F155" s="1">
        <v>1</v>
      </c>
      <c r="G155" s="1">
        <v>17</v>
      </c>
      <c r="H155" s="1">
        <v>16</v>
      </c>
      <c r="I155" s="1"/>
      <c r="J155" s="1"/>
      <c r="K155" s="1" t="s">
        <v>559</v>
      </c>
    </row>
    <row r="156" spans="1:11" x14ac:dyDescent="0.25">
      <c r="A156" s="6">
        <v>46284</v>
      </c>
      <c r="B156" s="45">
        <v>0.96143518518518523</v>
      </c>
      <c r="C156" s="1" t="s">
        <v>458</v>
      </c>
      <c r="D156" s="1" t="s">
        <v>28</v>
      </c>
      <c r="E156" s="1" t="s">
        <v>107</v>
      </c>
      <c r="F156" s="1">
        <v>1</v>
      </c>
      <c r="G156" s="1">
        <v>53</v>
      </c>
      <c r="H156" s="1">
        <v>52</v>
      </c>
      <c r="I156" s="1"/>
      <c r="J156" s="1"/>
      <c r="K156" s="1" t="s">
        <v>560</v>
      </c>
    </row>
    <row r="157" spans="1:11" x14ac:dyDescent="0.25">
      <c r="A157" s="6">
        <v>46284</v>
      </c>
      <c r="B157" s="45">
        <v>0.97954861111111113</v>
      </c>
      <c r="C157" s="1" t="s">
        <v>458</v>
      </c>
      <c r="D157" s="1" t="s">
        <v>182</v>
      </c>
      <c r="E157" s="1" t="s">
        <v>183</v>
      </c>
      <c r="F157" s="1">
        <v>1</v>
      </c>
      <c r="G157" s="1">
        <v>5</v>
      </c>
      <c r="H157" s="1">
        <v>4</v>
      </c>
      <c r="I157" s="1"/>
      <c r="J157" s="1"/>
      <c r="K157" s="1" t="s">
        <v>561</v>
      </c>
    </row>
    <row r="158" spans="1:11" x14ac:dyDescent="0.25">
      <c r="A158" s="6">
        <v>46284</v>
      </c>
      <c r="B158" s="45">
        <v>0.97954861111111113</v>
      </c>
      <c r="C158" s="1" t="s">
        <v>458</v>
      </c>
      <c r="D158" s="1" t="s">
        <v>302</v>
      </c>
      <c r="E158" s="1" t="s">
        <v>161</v>
      </c>
      <c r="F158" s="1">
        <v>1</v>
      </c>
      <c r="G158" s="1">
        <v>24</v>
      </c>
      <c r="H158" s="1">
        <v>23</v>
      </c>
      <c r="I158" s="1"/>
      <c r="J158" s="1"/>
      <c r="K158" s="1" t="s">
        <v>561</v>
      </c>
    </row>
    <row r="159" spans="1:11" x14ac:dyDescent="0.25">
      <c r="A159" s="6">
        <v>46284</v>
      </c>
      <c r="B159" s="45">
        <v>0.97954861111111113</v>
      </c>
      <c r="C159" s="1" t="s">
        <v>458</v>
      </c>
      <c r="D159" s="1" t="s">
        <v>65</v>
      </c>
      <c r="E159" s="1" t="s">
        <v>16</v>
      </c>
      <c r="F159" s="1">
        <v>2</v>
      </c>
      <c r="G159" s="1">
        <v>82</v>
      </c>
      <c r="H159" s="1">
        <v>80</v>
      </c>
      <c r="I159" s="1"/>
      <c r="J159" s="1"/>
      <c r="K159" s="1" t="s">
        <v>561</v>
      </c>
    </row>
    <row r="160" spans="1:11" x14ac:dyDescent="0.25">
      <c r="A160" s="6">
        <v>46284</v>
      </c>
      <c r="B160" s="45">
        <v>0.97954861111111113</v>
      </c>
      <c r="C160" s="1" t="s">
        <v>458</v>
      </c>
      <c r="D160" s="1" t="s">
        <v>158</v>
      </c>
      <c r="E160" s="1" t="s">
        <v>159</v>
      </c>
      <c r="F160" s="1">
        <v>1</v>
      </c>
      <c r="G160" s="1">
        <v>7</v>
      </c>
      <c r="H160" s="1">
        <v>6</v>
      </c>
      <c r="I160" s="1"/>
      <c r="J160" s="1"/>
      <c r="K160" s="1" t="s">
        <v>561</v>
      </c>
    </row>
    <row r="161" spans="1:11" ht="30" x14ac:dyDescent="0.25">
      <c r="A161" s="6">
        <v>46284</v>
      </c>
      <c r="B161" s="45">
        <v>0.97962962962962963</v>
      </c>
      <c r="C161" s="1" t="s">
        <v>458</v>
      </c>
      <c r="D161" s="1" t="s">
        <v>127</v>
      </c>
      <c r="E161" s="1" t="s">
        <v>128</v>
      </c>
      <c r="F161" s="1">
        <v>1</v>
      </c>
      <c r="G161" s="1">
        <v>19</v>
      </c>
      <c r="H161" s="1">
        <v>18</v>
      </c>
      <c r="I161" s="1"/>
      <c r="J161" s="1"/>
      <c r="K161" s="1" t="s">
        <v>562</v>
      </c>
    </row>
    <row r="162" spans="1:11" x14ac:dyDescent="0.25">
      <c r="A162" s="6">
        <v>46284</v>
      </c>
      <c r="B162" s="45">
        <v>0.9907407407407407</v>
      </c>
      <c r="C162" s="1" t="s">
        <v>458</v>
      </c>
      <c r="D162" s="1" t="s">
        <v>110</v>
      </c>
      <c r="E162" s="1" t="s">
        <v>115</v>
      </c>
      <c r="F162" s="1">
        <v>1</v>
      </c>
      <c r="G162" s="1">
        <v>12</v>
      </c>
      <c r="H162" s="1">
        <v>11</v>
      </c>
      <c r="I162" s="1"/>
      <c r="J162" s="1"/>
      <c r="K162" s="1" t="s">
        <v>563</v>
      </c>
    </row>
    <row r="163" spans="1:11" x14ac:dyDescent="0.25">
      <c r="A163" s="6">
        <v>46284</v>
      </c>
      <c r="B163" s="45">
        <v>0.9907407407407407</v>
      </c>
      <c r="C163" s="1" t="s">
        <v>458</v>
      </c>
      <c r="D163" s="1" t="s">
        <v>28</v>
      </c>
      <c r="E163" s="1" t="s">
        <v>107</v>
      </c>
      <c r="F163" s="1">
        <v>1</v>
      </c>
      <c r="G163" s="1">
        <v>52</v>
      </c>
      <c r="H163" s="1">
        <v>51</v>
      </c>
      <c r="I163" s="1"/>
      <c r="J163" s="1"/>
      <c r="K163" s="1" t="s">
        <v>563</v>
      </c>
    </row>
    <row r="164" spans="1:11" ht="30" x14ac:dyDescent="0.25">
      <c r="A164" s="6">
        <v>46284</v>
      </c>
      <c r="B164" s="45">
        <v>0.99258101851851854</v>
      </c>
      <c r="C164" s="1" t="s">
        <v>458</v>
      </c>
      <c r="D164" s="1" t="s">
        <v>131</v>
      </c>
      <c r="E164" s="1" t="s">
        <v>133</v>
      </c>
      <c r="F164" s="1">
        <v>1</v>
      </c>
      <c r="G164" s="1">
        <v>98</v>
      </c>
      <c r="H164" s="1">
        <v>97</v>
      </c>
      <c r="I164" s="1"/>
      <c r="J164" s="1"/>
      <c r="K164" s="1" t="s">
        <v>564</v>
      </c>
    </row>
    <row r="165" spans="1:11" x14ac:dyDescent="0.25">
      <c r="A165" s="6">
        <v>46284</v>
      </c>
      <c r="B165" s="45">
        <v>0.99258101851851854</v>
      </c>
      <c r="C165" s="1" t="s">
        <v>458</v>
      </c>
      <c r="D165" s="1" t="s">
        <v>28</v>
      </c>
      <c r="E165" s="1" t="s">
        <v>107</v>
      </c>
      <c r="F165" s="1">
        <v>1</v>
      </c>
      <c r="G165" s="1">
        <v>51</v>
      </c>
      <c r="H165" s="1">
        <v>50</v>
      </c>
      <c r="I165" s="1"/>
      <c r="J165" s="1"/>
      <c r="K165" s="1" t="s">
        <v>564</v>
      </c>
    </row>
    <row r="166" spans="1:11" ht="30" x14ac:dyDescent="0.25">
      <c r="A166" s="6">
        <v>46284</v>
      </c>
      <c r="B166" s="45">
        <v>0.99554398148148149</v>
      </c>
      <c r="C166" s="1" t="s">
        <v>458</v>
      </c>
      <c r="D166" s="1" t="s">
        <v>27</v>
      </c>
      <c r="E166" s="1" t="s">
        <v>106</v>
      </c>
      <c r="F166" s="1">
        <v>1</v>
      </c>
      <c r="G166" s="1">
        <v>14</v>
      </c>
      <c r="H166" s="1">
        <v>13</v>
      </c>
      <c r="I166" s="1"/>
      <c r="J166" s="1"/>
      <c r="K166" s="1" t="s">
        <v>565</v>
      </c>
    </row>
    <row r="167" spans="1:11" x14ac:dyDescent="0.25">
      <c r="A167" s="6">
        <v>46284</v>
      </c>
      <c r="B167" s="45">
        <v>0.99554398148148149</v>
      </c>
      <c r="C167" s="1" t="s">
        <v>458</v>
      </c>
      <c r="D167" s="1" t="s">
        <v>301</v>
      </c>
      <c r="E167" s="1" t="s">
        <v>191</v>
      </c>
      <c r="F167" s="1">
        <v>1</v>
      </c>
      <c r="G167" s="1">
        <v>997</v>
      </c>
      <c r="H167" s="1">
        <v>996</v>
      </c>
      <c r="I167" s="1"/>
      <c r="J167" s="1"/>
      <c r="K167" s="1" t="s">
        <v>565</v>
      </c>
    </row>
    <row r="168" spans="1:11" x14ac:dyDescent="0.25">
      <c r="A168" s="6">
        <v>46284</v>
      </c>
      <c r="B168" s="45">
        <v>0.9997800925925926</v>
      </c>
      <c r="C168" s="1" t="s">
        <v>458</v>
      </c>
      <c r="D168" s="1" t="s">
        <v>21</v>
      </c>
      <c r="E168" s="1" t="s">
        <v>5</v>
      </c>
      <c r="F168" s="1">
        <v>2</v>
      </c>
      <c r="G168" s="1">
        <v>989</v>
      </c>
      <c r="H168" s="1">
        <v>987</v>
      </c>
      <c r="I168" s="1"/>
      <c r="J168" s="1"/>
      <c r="K168" s="1" t="s">
        <v>566</v>
      </c>
    </row>
    <row r="169" spans="1:11" x14ac:dyDescent="0.25">
      <c r="A169" s="6">
        <v>46284</v>
      </c>
      <c r="B169" s="45">
        <v>0.9997800925925926</v>
      </c>
      <c r="C169" s="1" t="s">
        <v>458</v>
      </c>
      <c r="D169" s="1" t="s">
        <v>65</v>
      </c>
      <c r="E169" s="1" t="s">
        <v>16</v>
      </c>
      <c r="F169" s="1">
        <v>1</v>
      </c>
      <c r="G169" s="1">
        <v>80</v>
      </c>
      <c r="H169" s="1">
        <v>79</v>
      </c>
      <c r="I169" s="1"/>
      <c r="J169" s="1"/>
      <c r="K169" s="1" t="s">
        <v>566</v>
      </c>
    </row>
    <row r="170" spans="1:11" x14ac:dyDescent="0.25">
      <c r="A170" s="6">
        <v>46285</v>
      </c>
      <c r="B170" s="45">
        <v>3.3449074074074076E-3</v>
      </c>
      <c r="C170" s="1" t="s">
        <v>458</v>
      </c>
      <c r="D170" s="1" t="s">
        <v>22</v>
      </c>
      <c r="E170" s="1" t="s">
        <v>104</v>
      </c>
      <c r="F170" s="1">
        <v>1</v>
      </c>
      <c r="G170" s="1">
        <v>14</v>
      </c>
      <c r="H170" s="1">
        <v>13</v>
      </c>
      <c r="I170" s="1"/>
      <c r="J170" s="1"/>
      <c r="K170" s="1" t="s">
        <v>567</v>
      </c>
    </row>
    <row r="171" spans="1:11" x14ac:dyDescent="0.25">
      <c r="A171" s="6">
        <v>46285</v>
      </c>
      <c r="B171" s="45">
        <v>3.3449074074074076E-3</v>
      </c>
      <c r="C171" s="1" t="s">
        <v>458</v>
      </c>
      <c r="D171" s="1" t="s">
        <v>110</v>
      </c>
      <c r="E171" s="1" t="s">
        <v>115</v>
      </c>
      <c r="F171" s="1">
        <v>1</v>
      </c>
      <c r="G171" s="1">
        <v>11</v>
      </c>
      <c r="H171" s="1">
        <v>10</v>
      </c>
      <c r="I171" s="1"/>
      <c r="J171" s="1"/>
      <c r="K171" s="1" t="s">
        <v>567</v>
      </c>
    </row>
    <row r="172" spans="1:11" x14ac:dyDescent="0.25">
      <c r="A172" s="6">
        <v>46285</v>
      </c>
      <c r="B172" s="45">
        <v>7.0717592592592594E-3</v>
      </c>
      <c r="C172" s="1" t="s">
        <v>458</v>
      </c>
      <c r="D172" s="1" t="s">
        <v>21</v>
      </c>
      <c r="E172" s="1" t="s">
        <v>5</v>
      </c>
      <c r="F172" s="1">
        <v>1</v>
      </c>
      <c r="G172" s="1">
        <v>987</v>
      </c>
      <c r="H172" s="1">
        <v>986</v>
      </c>
      <c r="I172" s="1"/>
      <c r="J172" s="1"/>
      <c r="K172" s="1" t="s">
        <v>569</v>
      </c>
    </row>
    <row r="173" spans="1:11" ht="30" x14ac:dyDescent="0.25">
      <c r="A173" s="6">
        <v>46285</v>
      </c>
      <c r="B173" s="45">
        <v>7.0717592592592594E-3</v>
      </c>
      <c r="C173" s="1" t="s">
        <v>458</v>
      </c>
      <c r="D173" s="1" t="s">
        <v>131</v>
      </c>
      <c r="E173" s="1" t="s">
        <v>133</v>
      </c>
      <c r="F173" s="1">
        <v>1</v>
      </c>
      <c r="G173" s="1">
        <v>97</v>
      </c>
      <c r="H173" s="1">
        <v>96</v>
      </c>
      <c r="I173" s="1"/>
      <c r="J173" s="1"/>
      <c r="K173" s="1" t="s">
        <v>569</v>
      </c>
    </row>
    <row r="174" spans="1:11" ht="30" x14ac:dyDescent="0.25">
      <c r="A174" s="6">
        <v>46285</v>
      </c>
      <c r="B174" s="45">
        <v>7.0717592592592594E-3</v>
      </c>
      <c r="C174" s="1" t="s">
        <v>458</v>
      </c>
      <c r="D174" s="1" t="s">
        <v>27</v>
      </c>
      <c r="E174" s="1" t="s">
        <v>106</v>
      </c>
      <c r="F174" s="1">
        <v>1</v>
      </c>
      <c r="G174" s="1">
        <v>13</v>
      </c>
      <c r="H174" s="1">
        <v>12</v>
      </c>
      <c r="I174" s="1"/>
      <c r="J174" s="1"/>
      <c r="K174" s="1" t="s">
        <v>569</v>
      </c>
    </row>
    <row r="175" spans="1:11" x14ac:dyDescent="0.25">
      <c r="A175" s="6">
        <v>46285</v>
      </c>
      <c r="B175" s="45">
        <v>7.0717592592592594E-3</v>
      </c>
      <c r="C175" s="1" t="s">
        <v>458</v>
      </c>
      <c r="D175" s="1" t="s">
        <v>158</v>
      </c>
      <c r="E175" s="1" t="s">
        <v>159</v>
      </c>
      <c r="F175" s="1">
        <v>2</v>
      </c>
      <c r="G175" s="1">
        <v>6</v>
      </c>
      <c r="H175" s="1">
        <v>4</v>
      </c>
      <c r="I175" s="1"/>
      <c r="J175" s="1"/>
      <c r="K175" s="1" t="s">
        <v>569</v>
      </c>
    </row>
    <row r="176" spans="1:11" x14ac:dyDescent="0.25">
      <c r="A176" s="6">
        <v>46285</v>
      </c>
      <c r="B176" s="45">
        <v>2.6354166666666668E-2</v>
      </c>
      <c r="C176" s="1" t="s">
        <v>458</v>
      </c>
      <c r="D176" s="1" t="s">
        <v>22</v>
      </c>
      <c r="E176" s="1" t="s">
        <v>104</v>
      </c>
      <c r="F176" s="1">
        <v>2</v>
      </c>
      <c r="G176" s="1">
        <v>13</v>
      </c>
      <c r="H176" s="1">
        <v>11</v>
      </c>
      <c r="I176" s="1"/>
      <c r="J176" s="1"/>
      <c r="K176" s="1" t="s">
        <v>570</v>
      </c>
    </row>
    <row r="177" spans="1:11" x14ac:dyDescent="0.25">
      <c r="A177" s="6">
        <v>46285</v>
      </c>
      <c r="B177" s="45">
        <v>2.6354166666666668E-2</v>
      </c>
      <c r="C177" s="1" t="s">
        <v>458</v>
      </c>
      <c r="D177" s="1" t="s">
        <v>65</v>
      </c>
      <c r="E177" s="1" t="s">
        <v>16</v>
      </c>
      <c r="F177" s="1">
        <v>1</v>
      </c>
      <c r="G177" s="1">
        <v>79</v>
      </c>
      <c r="H177" s="1">
        <v>78</v>
      </c>
      <c r="I177" s="1"/>
      <c r="J177" s="1"/>
      <c r="K177" s="1" t="s">
        <v>570</v>
      </c>
    </row>
    <row r="178" spans="1:11" x14ac:dyDescent="0.25">
      <c r="A178" s="6">
        <v>46288</v>
      </c>
      <c r="B178" s="45">
        <v>0.65076388888888892</v>
      </c>
      <c r="C178" s="1" t="s">
        <v>458</v>
      </c>
      <c r="D178" s="1" t="s">
        <v>32</v>
      </c>
      <c r="E178" s="1" t="s">
        <v>9</v>
      </c>
      <c r="F178" s="1">
        <v>2</v>
      </c>
      <c r="G178" s="1">
        <v>46</v>
      </c>
      <c r="H178" s="1">
        <v>44</v>
      </c>
      <c r="I178" s="1"/>
      <c r="J178" s="58"/>
      <c r="K178" s="1" t="s">
        <v>652</v>
      </c>
    </row>
    <row r="179" spans="1:11" x14ac:dyDescent="0.25">
      <c r="A179" s="6">
        <v>46288</v>
      </c>
      <c r="B179" s="45">
        <v>0.65076388888888892</v>
      </c>
      <c r="C179" s="1" t="s">
        <v>458</v>
      </c>
      <c r="D179" s="1" t="s">
        <v>302</v>
      </c>
      <c r="E179" s="1" t="s">
        <v>161</v>
      </c>
      <c r="F179" s="1">
        <v>2</v>
      </c>
      <c r="G179" s="1">
        <v>23</v>
      </c>
      <c r="H179" s="1">
        <v>21</v>
      </c>
      <c r="I179" s="1"/>
      <c r="J179" s="58"/>
      <c r="K179" s="1" t="s">
        <v>652</v>
      </c>
    </row>
    <row r="180" spans="1:11" x14ac:dyDescent="0.25">
      <c r="A180" s="6">
        <v>46288</v>
      </c>
      <c r="B180" s="45">
        <v>0.65105324074074078</v>
      </c>
      <c r="C180" s="1" t="s">
        <v>458</v>
      </c>
      <c r="D180" s="1" t="s">
        <v>22</v>
      </c>
      <c r="E180" s="1" t="s">
        <v>104</v>
      </c>
      <c r="F180" s="1">
        <v>1</v>
      </c>
      <c r="G180" s="1">
        <v>11</v>
      </c>
      <c r="H180" s="1">
        <v>10</v>
      </c>
      <c r="I180" s="1"/>
      <c r="J180" s="58"/>
      <c r="K180" s="1" t="s">
        <v>573</v>
      </c>
    </row>
    <row r="181" spans="1:11" x14ac:dyDescent="0.25">
      <c r="A181" s="6">
        <v>46288</v>
      </c>
      <c r="B181" s="45">
        <v>0.65143518518518517</v>
      </c>
      <c r="C181" s="1" t="s">
        <v>458</v>
      </c>
      <c r="D181" s="1" t="s">
        <v>22</v>
      </c>
      <c r="E181" s="1" t="s">
        <v>104</v>
      </c>
      <c r="F181" s="1">
        <v>4</v>
      </c>
      <c r="G181" s="1">
        <v>10</v>
      </c>
      <c r="H181" s="1">
        <v>6</v>
      </c>
      <c r="I181" s="1"/>
      <c r="J181" s="2"/>
      <c r="K181" s="1" t="s">
        <v>653</v>
      </c>
    </row>
    <row r="182" spans="1:11" x14ac:dyDescent="0.25">
      <c r="A182" s="6">
        <v>46288</v>
      </c>
      <c r="B182" s="45">
        <v>0.65280092592592598</v>
      </c>
      <c r="C182" s="1" t="s">
        <v>458</v>
      </c>
      <c r="D182" s="1" t="s">
        <v>182</v>
      </c>
      <c r="E182" s="1" t="s">
        <v>183</v>
      </c>
      <c r="F182" s="1">
        <v>1</v>
      </c>
      <c r="G182" s="1">
        <v>4</v>
      </c>
      <c r="H182" s="1">
        <v>3</v>
      </c>
      <c r="I182" s="1"/>
      <c r="J182" s="2"/>
      <c r="K182" s="1" t="s">
        <v>654</v>
      </c>
    </row>
    <row r="183" spans="1:11" x14ac:dyDescent="0.25">
      <c r="A183" s="6">
        <v>46288</v>
      </c>
      <c r="B183" s="45">
        <v>0.65280092592592598</v>
      </c>
      <c r="C183" s="1" t="s">
        <v>458</v>
      </c>
      <c r="D183" s="1" t="s">
        <v>28</v>
      </c>
      <c r="E183" s="1" t="s">
        <v>107</v>
      </c>
      <c r="F183" s="1">
        <v>2</v>
      </c>
      <c r="G183" s="1">
        <v>50</v>
      </c>
      <c r="H183" s="1">
        <v>48</v>
      </c>
      <c r="I183" s="1"/>
      <c r="J183" s="2"/>
      <c r="K183" s="1" t="s">
        <v>654</v>
      </c>
    </row>
    <row r="184" spans="1:11" x14ac:dyDescent="0.25">
      <c r="A184" s="6">
        <v>46288</v>
      </c>
      <c r="B184" s="45">
        <v>0.87233796296296295</v>
      </c>
      <c r="C184" s="1" t="s">
        <v>458</v>
      </c>
      <c r="D184" s="1" t="s">
        <v>190</v>
      </c>
      <c r="E184" s="1" t="s">
        <v>184</v>
      </c>
      <c r="F184" s="1">
        <v>2</v>
      </c>
      <c r="G184" s="1">
        <v>19</v>
      </c>
      <c r="H184" s="1">
        <v>17</v>
      </c>
      <c r="I184" s="1"/>
      <c r="J184" s="2"/>
      <c r="K184" s="1" t="s">
        <v>655</v>
      </c>
    </row>
    <row r="185" spans="1:11" x14ac:dyDescent="0.25">
      <c r="A185" s="6">
        <v>46288</v>
      </c>
      <c r="B185" s="45">
        <v>0.87233796296296295</v>
      </c>
      <c r="C185" s="1" t="s">
        <v>458</v>
      </c>
      <c r="D185" s="1" t="s">
        <v>65</v>
      </c>
      <c r="E185" s="1" t="s">
        <v>16</v>
      </c>
      <c r="F185" s="1">
        <v>3</v>
      </c>
      <c r="G185" s="1">
        <v>78</v>
      </c>
      <c r="H185" s="1">
        <v>75</v>
      </c>
      <c r="I185" s="1"/>
      <c r="J185" s="2"/>
      <c r="K185" s="1" t="s">
        <v>655</v>
      </c>
    </row>
    <row r="186" spans="1:11" x14ac:dyDescent="0.25">
      <c r="A186" s="6">
        <v>46288</v>
      </c>
      <c r="B186" s="45">
        <v>0.87271990740740746</v>
      </c>
      <c r="C186" s="1" t="s">
        <v>458</v>
      </c>
      <c r="D186" s="1" t="s">
        <v>10</v>
      </c>
      <c r="E186" s="1" t="s">
        <v>15</v>
      </c>
      <c r="F186" s="1">
        <v>2</v>
      </c>
      <c r="G186" s="1">
        <v>46</v>
      </c>
      <c r="H186" s="1">
        <v>44</v>
      </c>
      <c r="I186" s="1"/>
      <c r="J186" s="2"/>
      <c r="K186" s="1" t="s">
        <v>656</v>
      </c>
    </row>
    <row r="187" spans="1:11" ht="30" x14ac:dyDescent="0.25">
      <c r="A187" s="6">
        <v>46288</v>
      </c>
      <c r="B187" s="45">
        <v>0.87271990740740746</v>
      </c>
      <c r="C187" s="1" t="s">
        <v>458</v>
      </c>
      <c r="D187" s="1" t="s">
        <v>112</v>
      </c>
      <c r="E187" s="1" t="s">
        <v>114</v>
      </c>
      <c r="F187" s="1">
        <v>1</v>
      </c>
      <c r="G187" s="1">
        <v>17</v>
      </c>
      <c r="H187" s="1">
        <v>16</v>
      </c>
      <c r="I187" s="1"/>
      <c r="J187" s="2"/>
      <c r="K187" s="1" t="s">
        <v>656</v>
      </c>
    </row>
    <row r="188" spans="1:11" x14ac:dyDescent="0.25">
      <c r="A188" s="6">
        <v>46288</v>
      </c>
      <c r="B188" s="45">
        <v>0.87271990740740746</v>
      </c>
      <c r="C188" s="1" t="s">
        <v>458</v>
      </c>
      <c r="D188" s="1" t="s">
        <v>28</v>
      </c>
      <c r="E188" s="1" t="s">
        <v>107</v>
      </c>
      <c r="F188" s="1">
        <v>1</v>
      </c>
      <c r="G188" s="1">
        <v>48</v>
      </c>
      <c r="H188" s="1">
        <v>47</v>
      </c>
      <c r="I188" s="1"/>
      <c r="J188" s="2"/>
      <c r="K188" s="1" t="s">
        <v>656</v>
      </c>
    </row>
    <row r="189" spans="1:11" x14ac:dyDescent="0.25">
      <c r="A189" s="6">
        <v>46288</v>
      </c>
      <c r="B189" s="45">
        <v>0.87288194444444445</v>
      </c>
      <c r="C189" s="1" t="s">
        <v>458</v>
      </c>
      <c r="D189" s="1" t="s">
        <v>190</v>
      </c>
      <c r="E189" s="1" t="s">
        <v>184</v>
      </c>
      <c r="F189" s="1">
        <v>2</v>
      </c>
      <c r="G189" s="1">
        <v>17</v>
      </c>
      <c r="H189" s="1">
        <v>15</v>
      </c>
      <c r="I189" s="1"/>
      <c r="J189" s="2"/>
      <c r="K189" s="1" t="s">
        <v>657</v>
      </c>
    </row>
    <row r="190" spans="1:11" x14ac:dyDescent="0.25">
      <c r="A190" s="6">
        <v>46288</v>
      </c>
      <c r="B190" s="45">
        <v>0.87288194444444445</v>
      </c>
      <c r="C190" s="1" t="s">
        <v>458</v>
      </c>
      <c r="D190" s="1" t="s">
        <v>28</v>
      </c>
      <c r="E190" s="1" t="s">
        <v>107</v>
      </c>
      <c r="F190" s="1">
        <v>1</v>
      </c>
      <c r="G190" s="1">
        <v>47</v>
      </c>
      <c r="H190" s="1">
        <v>46</v>
      </c>
      <c r="I190" s="1"/>
      <c r="J190" s="2"/>
      <c r="K190" s="1" t="s">
        <v>657</v>
      </c>
    </row>
    <row r="191" spans="1:11" x14ac:dyDescent="0.25">
      <c r="A191" s="6">
        <v>46288</v>
      </c>
      <c r="B191" s="45">
        <v>0.87288194444444445</v>
      </c>
      <c r="C191" s="1" t="s">
        <v>458</v>
      </c>
      <c r="D191" s="1" t="s">
        <v>22</v>
      </c>
      <c r="E191" s="1" t="s">
        <v>104</v>
      </c>
      <c r="F191" s="1">
        <v>1</v>
      </c>
      <c r="G191" s="1">
        <v>6</v>
      </c>
      <c r="H191" s="1">
        <v>5</v>
      </c>
      <c r="I191" s="1"/>
      <c r="J191" s="2"/>
      <c r="K191" s="1" t="s">
        <v>657</v>
      </c>
    </row>
    <row r="192" spans="1:11" x14ac:dyDescent="0.25">
      <c r="A192" s="6">
        <v>46288</v>
      </c>
      <c r="B192" s="45">
        <v>0.88571759259259264</v>
      </c>
      <c r="C192" s="1" t="s">
        <v>458</v>
      </c>
      <c r="D192" s="1" t="s">
        <v>21</v>
      </c>
      <c r="E192" s="1" t="s">
        <v>5</v>
      </c>
      <c r="F192" s="1">
        <v>1</v>
      </c>
      <c r="G192" s="1">
        <v>986</v>
      </c>
      <c r="H192" s="1">
        <v>985</v>
      </c>
      <c r="I192" s="1"/>
      <c r="J192" s="2"/>
      <c r="K192" s="1" t="s">
        <v>658</v>
      </c>
    </row>
    <row r="193" spans="1:11" x14ac:dyDescent="0.25">
      <c r="A193" s="6">
        <v>46288</v>
      </c>
      <c r="B193" s="45">
        <v>0.88571759259259264</v>
      </c>
      <c r="C193" s="1" t="s">
        <v>458</v>
      </c>
      <c r="D193" s="1" t="s">
        <v>10</v>
      </c>
      <c r="E193" s="1" t="s">
        <v>15</v>
      </c>
      <c r="F193" s="1">
        <v>1</v>
      </c>
      <c r="G193" s="1">
        <v>44</v>
      </c>
      <c r="H193" s="1">
        <v>43</v>
      </c>
      <c r="I193" s="1"/>
      <c r="J193" s="2"/>
      <c r="K193" s="1" t="s">
        <v>658</v>
      </c>
    </row>
    <row r="194" spans="1:11" x14ac:dyDescent="0.25">
      <c r="A194" s="6">
        <v>46288</v>
      </c>
      <c r="B194" s="45">
        <v>0.88678240740740744</v>
      </c>
      <c r="C194" s="1" t="s">
        <v>458</v>
      </c>
      <c r="D194" s="1" t="s">
        <v>28</v>
      </c>
      <c r="E194" s="1" t="s">
        <v>107</v>
      </c>
      <c r="F194" s="1">
        <v>1</v>
      </c>
      <c r="G194" s="1">
        <v>46</v>
      </c>
      <c r="H194" s="1">
        <v>45</v>
      </c>
      <c r="I194" s="1"/>
      <c r="J194" s="2"/>
      <c r="K194" s="1" t="s">
        <v>659</v>
      </c>
    </row>
    <row r="195" spans="1:11" x14ac:dyDescent="0.25">
      <c r="A195" s="6">
        <v>46288</v>
      </c>
      <c r="B195" s="45">
        <v>0.88678240740740744</v>
      </c>
      <c r="C195" s="1" t="s">
        <v>458</v>
      </c>
      <c r="D195" s="1" t="s">
        <v>65</v>
      </c>
      <c r="E195" s="1" t="s">
        <v>16</v>
      </c>
      <c r="F195" s="1">
        <v>1</v>
      </c>
      <c r="G195" s="1">
        <v>75</v>
      </c>
      <c r="H195" s="1">
        <v>74</v>
      </c>
      <c r="I195" s="1"/>
      <c r="J195" s="2"/>
      <c r="K195" s="1" t="s">
        <v>659</v>
      </c>
    </row>
    <row r="196" spans="1:11" x14ac:dyDescent="0.25">
      <c r="A196" s="6">
        <v>46288</v>
      </c>
      <c r="B196" s="45">
        <v>0.8994212962962963</v>
      </c>
      <c r="C196" s="1" t="s">
        <v>458</v>
      </c>
      <c r="D196" s="1" t="s">
        <v>22</v>
      </c>
      <c r="E196" s="1" t="s">
        <v>104</v>
      </c>
      <c r="F196" s="1">
        <v>1</v>
      </c>
      <c r="G196" s="1">
        <v>5</v>
      </c>
      <c r="H196" s="1">
        <v>4</v>
      </c>
      <c r="I196" s="1"/>
      <c r="J196" s="2"/>
      <c r="K196" s="1" t="s">
        <v>660</v>
      </c>
    </row>
    <row r="197" spans="1:11" ht="30" x14ac:dyDescent="0.25">
      <c r="A197" s="6">
        <v>46288</v>
      </c>
      <c r="B197" s="45">
        <v>0.8994212962962963</v>
      </c>
      <c r="C197" s="1" t="s">
        <v>458</v>
      </c>
      <c r="D197" s="1" t="s">
        <v>112</v>
      </c>
      <c r="E197" s="1" t="s">
        <v>114</v>
      </c>
      <c r="F197" s="1">
        <v>1</v>
      </c>
      <c r="G197" s="1">
        <v>16</v>
      </c>
      <c r="H197" s="1">
        <v>15</v>
      </c>
      <c r="I197" s="1"/>
      <c r="J197" s="2"/>
      <c r="K197" s="1" t="s">
        <v>660</v>
      </c>
    </row>
    <row r="198" spans="1:11" x14ac:dyDescent="0.25">
      <c r="A198" s="6">
        <v>46288</v>
      </c>
      <c r="B198" s="45">
        <v>0.91393518518518524</v>
      </c>
      <c r="C198" s="1" t="s">
        <v>458</v>
      </c>
      <c r="D198" s="1" t="s">
        <v>182</v>
      </c>
      <c r="E198" s="1" t="s">
        <v>183</v>
      </c>
      <c r="F198" s="1">
        <v>1</v>
      </c>
      <c r="G198" s="1">
        <v>3</v>
      </c>
      <c r="H198" s="1">
        <v>2</v>
      </c>
      <c r="I198" s="1"/>
      <c r="J198" s="2"/>
      <c r="K198" s="1" t="s">
        <v>661</v>
      </c>
    </row>
    <row r="199" spans="1:11" x14ac:dyDescent="0.25">
      <c r="A199" s="6">
        <v>46288</v>
      </c>
      <c r="B199" s="45">
        <v>0.91394675925925928</v>
      </c>
      <c r="C199" s="1" t="s">
        <v>458</v>
      </c>
      <c r="D199" s="1" t="s">
        <v>302</v>
      </c>
      <c r="E199" s="1" t="s">
        <v>161</v>
      </c>
      <c r="F199" s="1">
        <v>4</v>
      </c>
      <c r="G199" s="1">
        <v>21</v>
      </c>
      <c r="H199" s="1">
        <v>17</v>
      </c>
      <c r="I199" s="1"/>
      <c r="J199" s="2"/>
      <c r="K199" s="1" t="s">
        <v>661</v>
      </c>
    </row>
    <row r="200" spans="1:11" x14ac:dyDescent="0.25">
      <c r="A200" s="6">
        <v>46288</v>
      </c>
      <c r="B200" s="45">
        <v>0.97141203703703705</v>
      </c>
      <c r="C200" s="1" t="s">
        <v>300</v>
      </c>
      <c r="D200" s="1" t="s">
        <v>182</v>
      </c>
      <c r="E200" s="1" t="s">
        <v>183</v>
      </c>
      <c r="F200" s="1">
        <v>13</v>
      </c>
      <c r="G200" s="1">
        <v>2</v>
      </c>
      <c r="H200" s="1">
        <v>15</v>
      </c>
      <c r="I200" s="1"/>
      <c r="J200" s="1"/>
      <c r="K200" s="1"/>
    </row>
    <row r="201" spans="1:11" x14ac:dyDescent="0.25">
      <c r="A201" s="6">
        <v>46288</v>
      </c>
      <c r="B201" s="45">
        <v>0.99243055555555559</v>
      </c>
      <c r="C201" s="1" t="s">
        <v>458</v>
      </c>
      <c r="D201" s="1" t="s">
        <v>28</v>
      </c>
      <c r="E201" s="1" t="s">
        <v>107</v>
      </c>
      <c r="F201" s="1">
        <v>1</v>
      </c>
      <c r="G201" s="1">
        <v>45</v>
      </c>
      <c r="H201" s="1">
        <v>44</v>
      </c>
      <c r="I201" s="1"/>
      <c r="J201" s="1"/>
      <c r="K201" s="1" t="s">
        <v>662</v>
      </c>
    </row>
    <row r="202" spans="1:11" x14ac:dyDescent="0.25">
      <c r="A202" s="6">
        <v>46288</v>
      </c>
      <c r="B202" s="45">
        <v>0.99243055555555559</v>
      </c>
      <c r="C202" s="1" t="s">
        <v>458</v>
      </c>
      <c r="D202" s="1" t="s">
        <v>65</v>
      </c>
      <c r="E202" s="1" t="s">
        <v>16</v>
      </c>
      <c r="F202" s="1">
        <v>1</v>
      </c>
      <c r="G202" s="1">
        <v>74</v>
      </c>
      <c r="H202" s="1">
        <v>73</v>
      </c>
      <c r="I202" s="1"/>
      <c r="J202" s="1"/>
      <c r="K202" s="1" t="s">
        <v>662</v>
      </c>
    </row>
    <row r="203" spans="1:11" ht="30" x14ac:dyDescent="0.25">
      <c r="A203" s="6">
        <v>46288</v>
      </c>
      <c r="B203" s="45">
        <v>0.99243055555555559</v>
      </c>
      <c r="C203" s="1" t="s">
        <v>458</v>
      </c>
      <c r="D203" s="1" t="s">
        <v>131</v>
      </c>
      <c r="E203" s="1" t="s">
        <v>133</v>
      </c>
      <c r="F203" s="1">
        <v>1</v>
      </c>
      <c r="G203" s="1">
        <v>96</v>
      </c>
      <c r="H203" s="1">
        <v>95</v>
      </c>
      <c r="I203" s="1"/>
      <c r="J203" s="1"/>
      <c r="K203" s="1" t="s">
        <v>662</v>
      </c>
    </row>
    <row r="204" spans="1:11" x14ac:dyDescent="0.25">
      <c r="A204" s="6">
        <v>46288</v>
      </c>
      <c r="B204" s="45">
        <v>0.99293981481481486</v>
      </c>
      <c r="C204" s="1" t="s">
        <v>458</v>
      </c>
      <c r="D204" s="1" t="s">
        <v>21</v>
      </c>
      <c r="E204" s="1" t="s">
        <v>5</v>
      </c>
      <c r="F204" s="1">
        <v>1</v>
      </c>
      <c r="G204" s="1">
        <v>985</v>
      </c>
      <c r="H204" s="1">
        <v>984</v>
      </c>
      <c r="I204" s="1"/>
      <c r="J204" s="1"/>
      <c r="K204" s="1" t="s">
        <v>663</v>
      </c>
    </row>
    <row r="205" spans="1:11" x14ac:dyDescent="0.25">
      <c r="A205" s="6">
        <v>46288</v>
      </c>
      <c r="B205" s="45">
        <v>0.99293981481481486</v>
      </c>
      <c r="C205" s="1" t="s">
        <v>458</v>
      </c>
      <c r="D205" s="1" t="s">
        <v>65</v>
      </c>
      <c r="E205" s="1" t="s">
        <v>16</v>
      </c>
      <c r="F205" s="1">
        <v>1</v>
      </c>
      <c r="G205" s="1">
        <v>73</v>
      </c>
      <c r="H205" s="1">
        <v>72</v>
      </c>
      <c r="I205" s="1"/>
      <c r="J205" s="1"/>
      <c r="K205" s="1" t="s">
        <v>663</v>
      </c>
    </row>
    <row r="206" spans="1:11" ht="30" x14ac:dyDescent="0.25">
      <c r="A206" s="6">
        <v>46288</v>
      </c>
      <c r="B206" s="45">
        <v>0.99293981481481486</v>
      </c>
      <c r="C206" s="1" t="s">
        <v>458</v>
      </c>
      <c r="D206" s="1" t="s">
        <v>27</v>
      </c>
      <c r="E206" s="1" t="s">
        <v>106</v>
      </c>
      <c r="F206" s="1">
        <v>1</v>
      </c>
      <c r="G206" s="1">
        <v>12</v>
      </c>
      <c r="H206" s="1">
        <v>11</v>
      </c>
      <c r="I206" s="1"/>
      <c r="J206" s="1"/>
      <c r="K206" s="1" t="s">
        <v>663</v>
      </c>
    </row>
    <row r="207" spans="1:11" x14ac:dyDescent="0.25">
      <c r="A207" s="6">
        <v>46288</v>
      </c>
      <c r="B207" s="45">
        <v>0.99333333333333329</v>
      </c>
      <c r="C207" s="1" t="s">
        <v>458</v>
      </c>
      <c r="D207" s="1" t="s">
        <v>28</v>
      </c>
      <c r="E207" s="1" t="s">
        <v>107</v>
      </c>
      <c r="F207" s="1">
        <v>8</v>
      </c>
      <c r="G207" s="1">
        <v>44</v>
      </c>
      <c r="H207" s="1">
        <v>36</v>
      </c>
      <c r="I207" s="1"/>
      <c r="J207" s="1"/>
      <c r="K207" s="1" t="s">
        <v>664</v>
      </c>
    </row>
    <row r="208" spans="1:11" x14ac:dyDescent="0.25">
      <c r="A208" s="6">
        <v>46288</v>
      </c>
      <c r="B208" s="45">
        <v>0.99333333333333329</v>
      </c>
      <c r="C208" s="1" t="s">
        <v>458</v>
      </c>
      <c r="D208" s="1" t="s">
        <v>33</v>
      </c>
      <c r="E208" s="1" t="s">
        <v>17</v>
      </c>
      <c r="F208" s="1">
        <v>2</v>
      </c>
      <c r="G208" s="1">
        <v>104</v>
      </c>
      <c r="H208" s="1">
        <v>102</v>
      </c>
      <c r="I208" s="1"/>
      <c r="J208" s="1"/>
      <c r="K208" s="1" t="s">
        <v>664</v>
      </c>
    </row>
    <row r="209" spans="1:11" x14ac:dyDescent="0.25">
      <c r="A209" s="6">
        <v>46288</v>
      </c>
      <c r="B209" s="45">
        <v>0.99333333333333329</v>
      </c>
      <c r="C209" s="1" t="s">
        <v>458</v>
      </c>
      <c r="D209" s="1" t="s">
        <v>32</v>
      </c>
      <c r="E209" s="1" t="s">
        <v>9</v>
      </c>
      <c r="F209" s="1">
        <v>2</v>
      </c>
      <c r="G209" s="1">
        <v>44</v>
      </c>
      <c r="H209" s="1">
        <v>42</v>
      </c>
      <c r="I209" s="1"/>
      <c r="J209" s="1"/>
      <c r="K209" s="1" t="s">
        <v>664</v>
      </c>
    </row>
    <row r="210" spans="1:11" x14ac:dyDescent="0.25">
      <c r="A210" s="6">
        <v>46288</v>
      </c>
      <c r="B210" s="45">
        <v>0.99333333333333329</v>
      </c>
      <c r="C210" s="1" t="s">
        <v>458</v>
      </c>
      <c r="D210" s="1" t="s">
        <v>31</v>
      </c>
      <c r="E210" s="1" t="s">
        <v>109</v>
      </c>
      <c r="F210" s="1">
        <v>1</v>
      </c>
      <c r="G210" s="1">
        <v>8</v>
      </c>
      <c r="H210" s="1">
        <v>7</v>
      </c>
      <c r="I210" s="1"/>
      <c r="J210" s="1"/>
      <c r="K210" s="1" t="s">
        <v>664</v>
      </c>
    </row>
    <row r="211" spans="1:11" x14ac:dyDescent="0.25">
      <c r="A211" s="6">
        <v>46288</v>
      </c>
      <c r="B211" s="45">
        <v>0.99333333333333329</v>
      </c>
      <c r="C211" s="1" t="s">
        <v>458</v>
      </c>
      <c r="D211" s="1" t="s">
        <v>190</v>
      </c>
      <c r="E211" s="1" t="s">
        <v>184</v>
      </c>
      <c r="F211" s="1">
        <v>1</v>
      </c>
      <c r="G211" s="1">
        <v>15</v>
      </c>
      <c r="H211" s="1">
        <v>14</v>
      </c>
      <c r="I211" s="1"/>
      <c r="J211" s="1"/>
      <c r="K211" s="1" t="s">
        <v>664</v>
      </c>
    </row>
    <row r="212" spans="1:11" x14ac:dyDescent="0.25">
      <c r="A212" s="6">
        <v>46288</v>
      </c>
      <c r="B212" s="45">
        <v>0.99333333333333329</v>
      </c>
      <c r="C212" s="1" t="s">
        <v>458</v>
      </c>
      <c r="D212" s="1" t="s">
        <v>24</v>
      </c>
      <c r="E212" s="1" t="s">
        <v>105</v>
      </c>
      <c r="F212" s="1">
        <v>1</v>
      </c>
      <c r="G212" s="1">
        <v>33</v>
      </c>
      <c r="H212" s="1">
        <v>32</v>
      </c>
      <c r="I212" s="1"/>
      <c r="J212" s="1"/>
      <c r="K212" s="1" t="s">
        <v>664</v>
      </c>
    </row>
    <row r="213" spans="1:11" x14ac:dyDescent="0.25">
      <c r="A213" s="6">
        <v>46288</v>
      </c>
      <c r="B213" s="45">
        <v>0.99346064814814816</v>
      </c>
      <c r="C213" s="1" t="s">
        <v>458</v>
      </c>
      <c r="D213" s="1" t="s">
        <v>21</v>
      </c>
      <c r="E213" s="1" t="s">
        <v>5</v>
      </c>
      <c r="F213" s="1">
        <v>1</v>
      </c>
      <c r="G213" s="1">
        <v>984</v>
      </c>
      <c r="H213" s="1">
        <v>983</v>
      </c>
      <c r="I213" s="1"/>
      <c r="J213" s="1"/>
      <c r="K213" s="1" t="s">
        <v>665</v>
      </c>
    </row>
    <row r="214" spans="1:11" x14ac:dyDescent="0.25">
      <c r="A214" s="6">
        <v>46288</v>
      </c>
      <c r="B214" s="45">
        <v>0.99351851851851847</v>
      </c>
      <c r="C214" s="1" t="s">
        <v>458</v>
      </c>
      <c r="D214" s="1" t="s">
        <v>21</v>
      </c>
      <c r="E214" s="1" t="s">
        <v>5</v>
      </c>
      <c r="F214" s="1">
        <v>1</v>
      </c>
      <c r="G214" s="1">
        <v>983</v>
      </c>
      <c r="H214" s="1">
        <v>982</v>
      </c>
      <c r="I214" s="1"/>
      <c r="J214" s="1"/>
      <c r="K214" s="1" t="s">
        <v>665</v>
      </c>
    </row>
    <row r="215" spans="1:11" x14ac:dyDescent="0.25">
      <c r="A215" s="6">
        <v>46289</v>
      </c>
      <c r="B215" s="45">
        <v>0.89431712962962961</v>
      </c>
      <c r="C215" s="1" t="s">
        <v>458</v>
      </c>
      <c r="D215" s="1" t="s">
        <v>110</v>
      </c>
      <c r="E215" s="1" t="s">
        <v>115</v>
      </c>
      <c r="F215" s="1">
        <v>1</v>
      </c>
      <c r="G215" s="1">
        <v>10</v>
      </c>
      <c r="H215" s="1">
        <v>9</v>
      </c>
      <c r="I215" s="1"/>
      <c r="J215" s="1"/>
      <c r="K215" s="1" t="s">
        <v>666</v>
      </c>
    </row>
    <row r="216" spans="1:11" x14ac:dyDescent="0.25">
      <c r="A216" s="6">
        <v>46289</v>
      </c>
      <c r="B216" s="45">
        <v>0.89641203703703709</v>
      </c>
      <c r="C216" s="1" t="s">
        <v>458</v>
      </c>
      <c r="D216" s="1" t="s">
        <v>65</v>
      </c>
      <c r="E216" s="1" t="s">
        <v>16</v>
      </c>
      <c r="F216" s="1">
        <v>1</v>
      </c>
      <c r="G216" s="1">
        <v>72</v>
      </c>
      <c r="H216" s="1">
        <v>71</v>
      </c>
      <c r="I216" s="1"/>
      <c r="J216" s="1"/>
      <c r="K216" s="1" t="s">
        <v>667</v>
      </c>
    </row>
    <row r="217" spans="1:11" x14ac:dyDescent="0.25">
      <c r="A217" s="6">
        <v>46289</v>
      </c>
      <c r="B217" s="45">
        <v>0.9497916666666667</v>
      </c>
      <c r="C217" s="1" t="s">
        <v>458</v>
      </c>
      <c r="D217" s="1" t="s">
        <v>182</v>
      </c>
      <c r="E217" s="1" t="s">
        <v>183</v>
      </c>
      <c r="F217" s="1">
        <v>1</v>
      </c>
      <c r="G217" s="1">
        <v>15</v>
      </c>
      <c r="H217" s="1">
        <v>14</v>
      </c>
      <c r="I217" s="1"/>
      <c r="J217" s="1"/>
      <c r="K217" s="1" t="s">
        <v>668</v>
      </c>
    </row>
    <row r="218" spans="1:11" x14ac:dyDescent="0.25">
      <c r="A218" s="6">
        <v>46289</v>
      </c>
      <c r="B218" s="45">
        <v>0.9497916666666667</v>
      </c>
      <c r="C218" s="1" t="s">
        <v>458</v>
      </c>
      <c r="D218" s="1" t="s">
        <v>65</v>
      </c>
      <c r="E218" s="1" t="s">
        <v>16</v>
      </c>
      <c r="F218" s="1">
        <v>2</v>
      </c>
      <c r="G218" s="1">
        <v>71</v>
      </c>
      <c r="H218" s="1">
        <v>69</v>
      </c>
      <c r="I218" s="1"/>
      <c r="J218" s="1"/>
      <c r="K218" s="1" t="s">
        <v>668</v>
      </c>
    </row>
    <row r="219" spans="1:11" x14ac:dyDescent="0.25">
      <c r="A219" s="6">
        <v>46289</v>
      </c>
      <c r="B219" s="45">
        <v>0.9497916666666667</v>
      </c>
      <c r="C219" s="1" t="s">
        <v>458</v>
      </c>
      <c r="D219" s="1" t="s">
        <v>28</v>
      </c>
      <c r="E219" s="1" t="s">
        <v>107</v>
      </c>
      <c r="F219" s="1">
        <v>1</v>
      </c>
      <c r="G219" s="1">
        <v>36</v>
      </c>
      <c r="H219" s="1">
        <v>35</v>
      </c>
      <c r="I219" s="1"/>
      <c r="J219" s="1"/>
      <c r="K219" s="1" t="s">
        <v>668</v>
      </c>
    </row>
    <row r="220" spans="1:11" x14ac:dyDescent="0.25">
      <c r="A220" s="6">
        <v>46289</v>
      </c>
      <c r="B220" s="45">
        <v>0.95025462962962959</v>
      </c>
      <c r="C220" s="1" t="s">
        <v>458</v>
      </c>
      <c r="D220" s="1" t="s">
        <v>21</v>
      </c>
      <c r="E220" s="1" t="s">
        <v>5</v>
      </c>
      <c r="F220" s="1">
        <v>1</v>
      </c>
      <c r="G220" s="1">
        <v>982</v>
      </c>
      <c r="H220" s="1">
        <v>981</v>
      </c>
      <c r="I220" s="1"/>
      <c r="J220" s="1"/>
      <c r="K220" s="1" t="s">
        <v>669</v>
      </c>
    </row>
    <row r="221" spans="1:11" x14ac:dyDescent="0.25">
      <c r="A221" s="6">
        <v>46289</v>
      </c>
      <c r="B221" s="45">
        <v>0.97</v>
      </c>
      <c r="C221" s="1" t="s">
        <v>458</v>
      </c>
      <c r="D221" s="1" t="s">
        <v>65</v>
      </c>
      <c r="E221" s="1" t="s">
        <v>16</v>
      </c>
      <c r="F221" s="1">
        <v>1</v>
      </c>
      <c r="G221" s="1">
        <v>69</v>
      </c>
      <c r="H221" s="1">
        <v>68</v>
      </c>
      <c r="I221" s="1"/>
      <c r="J221" s="1"/>
      <c r="K221" s="1" t="s">
        <v>670</v>
      </c>
    </row>
    <row r="222" spans="1:11" ht="30" x14ac:dyDescent="0.25">
      <c r="A222" s="6">
        <v>46289</v>
      </c>
      <c r="B222" s="45">
        <v>0.97129629629629632</v>
      </c>
      <c r="C222" s="1" t="s">
        <v>458</v>
      </c>
      <c r="D222" s="1" t="s">
        <v>112</v>
      </c>
      <c r="E222" s="1" t="s">
        <v>114</v>
      </c>
      <c r="F222" s="1">
        <v>1</v>
      </c>
      <c r="G222" s="1">
        <v>15</v>
      </c>
      <c r="H222" s="1">
        <v>14</v>
      </c>
      <c r="I222" s="1"/>
      <c r="J222" s="1"/>
      <c r="K222" s="1" t="s">
        <v>671</v>
      </c>
    </row>
    <row r="223" spans="1:11" ht="30" x14ac:dyDescent="0.25">
      <c r="A223" s="6">
        <v>46289</v>
      </c>
      <c r="B223" s="45">
        <v>0.97129629629629632</v>
      </c>
      <c r="C223" s="1" t="s">
        <v>458</v>
      </c>
      <c r="D223" s="1" t="s">
        <v>113</v>
      </c>
      <c r="E223" s="1" t="s">
        <v>171</v>
      </c>
      <c r="F223" s="1">
        <v>1</v>
      </c>
      <c r="G223" s="1">
        <v>16</v>
      </c>
      <c r="H223" s="1">
        <v>15</v>
      </c>
      <c r="I223" s="1"/>
      <c r="J223" s="1"/>
      <c r="K223" s="1" t="s">
        <v>671</v>
      </c>
    </row>
    <row r="224" spans="1:11" x14ac:dyDescent="0.25">
      <c r="A224" s="6">
        <v>46289</v>
      </c>
      <c r="B224" s="45">
        <v>0.97140046296296301</v>
      </c>
      <c r="C224" s="1" t="s">
        <v>458</v>
      </c>
      <c r="D224" s="1" t="s">
        <v>190</v>
      </c>
      <c r="E224" s="1" t="s">
        <v>184</v>
      </c>
      <c r="F224" s="1">
        <v>2</v>
      </c>
      <c r="G224" s="1">
        <v>14</v>
      </c>
      <c r="H224" s="1">
        <v>12</v>
      </c>
      <c r="I224" s="1"/>
      <c r="J224" s="1"/>
      <c r="K224" s="1" t="s">
        <v>672</v>
      </c>
    </row>
    <row r="225" spans="1:11" x14ac:dyDescent="0.25">
      <c r="A225" s="6">
        <v>46289</v>
      </c>
      <c r="B225" s="45">
        <v>0.97140046296296301</v>
      </c>
      <c r="C225" s="1" t="s">
        <v>458</v>
      </c>
      <c r="D225" s="1" t="s">
        <v>10</v>
      </c>
      <c r="E225" s="1" t="s">
        <v>15</v>
      </c>
      <c r="F225" s="1">
        <v>1</v>
      </c>
      <c r="G225" s="1">
        <v>43</v>
      </c>
      <c r="H225" s="1">
        <v>42</v>
      </c>
      <c r="I225" s="1"/>
      <c r="J225" s="1"/>
      <c r="K225" s="1" t="s">
        <v>672</v>
      </c>
    </row>
    <row r="226" spans="1:11" x14ac:dyDescent="0.25">
      <c r="A226" s="6">
        <v>46289</v>
      </c>
      <c r="B226" s="45">
        <v>0.97228009259259263</v>
      </c>
      <c r="C226" s="1" t="s">
        <v>458</v>
      </c>
      <c r="D226" s="1" t="s">
        <v>10</v>
      </c>
      <c r="E226" s="1" t="s">
        <v>15</v>
      </c>
      <c r="F226" s="1">
        <v>1</v>
      </c>
      <c r="G226" s="1">
        <v>42</v>
      </c>
      <c r="H226" s="1">
        <v>41</v>
      </c>
      <c r="I226" s="1"/>
      <c r="J226" s="1"/>
      <c r="K226" s="1" t="s">
        <v>673</v>
      </c>
    </row>
    <row r="227" spans="1:11" x14ac:dyDescent="0.25">
      <c r="A227" s="6">
        <v>46289</v>
      </c>
      <c r="B227" s="45">
        <v>0.97266203703703702</v>
      </c>
      <c r="C227" s="1" t="s">
        <v>458</v>
      </c>
      <c r="D227" s="1" t="s">
        <v>10</v>
      </c>
      <c r="E227" s="1" t="s">
        <v>15</v>
      </c>
      <c r="F227" s="1">
        <v>1</v>
      </c>
      <c r="G227" s="1">
        <v>41</v>
      </c>
      <c r="H227" s="1">
        <v>40</v>
      </c>
      <c r="I227" s="1"/>
      <c r="J227" s="1"/>
      <c r="K227" s="1" t="s">
        <v>674</v>
      </c>
    </row>
    <row r="228" spans="1:11" x14ac:dyDescent="0.25">
      <c r="A228" s="6">
        <v>46289</v>
      </c>
      <c r="B228" s="45">
        <v>0.97296296296296292</v>
      </c>
      <c r="C228" s="1" t="s">
        <v>458</v>
      </c>
      <c r="D228" s="1" t="s">
        <v>10</v>
      </c>
      <c r="E228" s="1" t="s">
        <v>15</v>
      </c>
      <c r="F228" s="1">
        <v>1</v>
      </c>
      <c r="G228" s="1">
        <v>40</v>
      </c>
      <c r="H228" s="1">
        <v>39</v>
      </c>
      <c r="I228" s="1"/>
      <c r="J228" s="1"/>
      <c r="K228" s="1" t="s">
        <v>674</v>
      </c>
    </row>
    <row r="229" spans="1:11" ht="30" x14ac:dyDescent="0.25">
      <c r="A229" s="6">
        <v>46289</v>
      </c>
      <c r="B229" s="45">
        <v>0.97296296296296292</v>
      </c>
      <c r="C229" s="1" t="s">
        <v>458</v>
      </c>
      <c r="D229" s="1" t="s">
        <v>113</v>
      </c>
      <c r="E229" s="1" t="s">
        <v>171</v>
      </c>
      <c r="F229" s="1">
        <v>1</v>
      </c>
      <c r="G229" s="1">
        <v>15</v>
      </c>
      <c r="H229" s="1">
        <v>14</v>
      </c>
      <c r="I229" s="1"/>
      <c r="J229" s="1"/>
      <c r="K229" s="1" t="s">
        <v>674</v>
      </c>
    </row>
    <row r="230" spans="1:11" x14ac:dyDescent="0.25">
      <c r="A230" s="6">
        <v>46289</v>
      </c>
      <c r="B230" s="45">
        <v>0.97302083333333333</v>
      </c>
      <c r="C230" s="1" t="s">
        <v>458</v>
      </c>
      <c r="D230" s="1" t="s">
        <v>10</v>
      </c>
      <c r="E230" s="1" t="s">
        <v>15</v>
      </c>
      <c r="F230" s="1">
        <v>1</v>
      </c>
      <c r="G230" s="1">
        <v>39</v>
      </c>
      <c r="H230" s="1">
        <v>38</v>
      </c>
      <c r="I230" s="1"/>
      <c r="J230" s="1"/>
      <c r="K230" s="1" t="s">
        <v>675</v>
      </c>
    </row>
    <row r="231" spans="1:11" ht="30" x14ac:dyDescent="0.25">
      <c r="A231" s="6">
        <v>46289</v>
      </c>
      <c r="B231" s="45">
        <v>0.97395833333333337</v>
      </c>
      <c r="C231" s="1" t="s">
        <v>458</v>
      </c>
      <c r="D231" s="1" t="s">
        <v>127</v>
      </c>
      <c r="E231" s="1" t="s">
        <v>128</v>
      </c>
      <c r="F231" s="1">
        <v>1</v>
      </c>
      <c r="G231" s="1">
        <v>18</v>
      </c>
      <c r="H231" s="1">
        <v>17</v>
      </c>
      <c r="I231" s="1"/>
      <c r="J231" s="1"/>
      <c r="K231" s="1" t="s">
        <v>676</v>
      </c>
    </row>
    <row r="232" spans="1:11" x14ac:dyDescent="0.25">
      <c r="A232" s="6">
        <v>46289</v>
      </c>
      <c r="B232" s="45">
        <v>0.97847222222222219</v>
      </c>
      <c r="C232" s="1" t="s">
        <v>458</v>
      </c>
      <c r="D232" s="1" t="s">
        <v>21</v>
      </c>
      <c r="E232" s="1" t="s">
        <v>5</v>
      </c>
      <c r="F232" s="1">
        <v>1</v>
      </c>
      <c r="G232" s="1">
        <v>981</v>
      </c>
      <c r="H232" s="1">
        <v>980</v>
      </c>
      <c r="I232" s="1"/>
      <c r="J232" s="1"/>
      <c r="K232" s="1" t="s">
        <v>677</v>
      </c>
    </row>
    <row r="233" spans="1:11" x14ac:dyDescent="0.25">
      <c r="A233" s="6">
        <v>46289</v>
      </c>
      <c r="B233" s="45">
        <v>0.97847222222222219</v>
      </c>
      <c r="C233" s="1" t="s">
        <v>458</v>
      </c>
      <c r="D233" s="1" t="s">
        <v>65</v>
      </c>
      <c r="E233" s="1" t="s">
        <v>16</v>
      </c>
      <c r="F233" s="1">
        <v>1</v>
      </c>
      <c r="G233" s="1">
        <v>68</v>
      </c>
      <c r="H233" s="1">
        <v>67</v>
      </c>
      <c r="I233" s="1"/>
      <c r="J233" s="1"/>
      <c r="K233" s="1" t="s">
        <v>677</v>
      </c>
    </row>
    <row r="234" spans="1:11" x14ac:dyDescent="0.25">
      <c r="A234" s="6">
        <v>46289</v>
      </c>
      <c r="B234" s="45">
        <v>0.97847222222222219</v>
      </c>
      <c r="C234" s="1" t="s">
        <v>458</v>
      </c>
      <c r="D234" s="1" t="s">
        <v>10</v>
      </c>
      <c r="E234" s="1" t="s">
        <v>15</v>
      </c>
      <c r="F234" s="1">
        <v>1</v>
      </c>
      <c r="G234" s="1">
        <v>38</v>
      </c>
      <c r="H234" s="1">
        <v>37</v>
      </c>
      <c r="I234" s="1"/>
      <c r="J234" s="1"/>
      <c r="K234" s="1" t="s">
        <v>677</v>
      </c>
    </row>
    <row r="235" spans="1:11" x14ac:dyDescent="0.25">
      <c r="A235" s="6">
        <v>46289</v>
      </c>
      <c r="B235" s="45">
        <v>0.97847222222222219</v>
      </c>
      <c r="C235" s="1" t="s">
        <v>458</v>
      </c>
      <c r="D235" s="1" t="s">
        <v>130</v>
      </c>
      <c r="E235" s="1" t="s">
        <v>132</v>
      </c>
      <c r="F235" s="1">
        <v>1</v>
      </c>
      <c r="G235" s="1">
        <v>95</v>
      </c>
      <c r="H235" s="1">
        <v>94</v>
      </c>
      <c r="I235" s="1"/>
      <c r="J235" s="1"/>
      <c r="K235" s="1" t="s">
        <v>677</v>
      </c>
    </row>
    <row r="236" spans="1:11" x14ac:dyDescent="0.25">
      <c r="A236" s="6">
        <v>46289</v>
      </c>
      <c r="B236" s="45">
        <v>0.97863425925925929</v>
      </c>
      <c r="C236" s="1" t="s">
        <v>458</v>
      </c>
      <c r="D236" s="1" t="s">
        <v>24</v>
      </c>
      <c r="E236" s="1" t="s">
        <v>105</v>
      </c>
      <c r="F236" s="1">
        <v>2</v>
      </c>
      <c r="G236" s="1">
        <v>32</v>
      </c>
      <c r="H236" s="1">
        <v>30</v>
      </c>
      <c r="I236" s="1"/>
      <c r="J236" s="1"/>
      <c r="K236" s="1" t="s">
        <v>678</v>
      </c>
    </row>
    <row r="237" spans="1:11" ht="30" x14ac:dyDescent="0.25">
      <c r="A237" s="6">
        <v>46290</v>
      </c>
      <c r="B237" s="45">
        <v>0.53634259259259254</v>
      </c>
      <c r="C237" s="1" t="s">
        <v>458</v>
      </c>
      <c r="D237" s="1" t="s">
        <v>127</v>
      </c>
      <c r="E237" s="1" t="s">
        <v>128</v>
      </c>
      <c r="F237" s="1">
        <v>1</v>
      </c>
      <c r="G237" s="1">
        <v>17</v>
      </c>
      <c r="H237" s="1">
        <v>16</v>
      </c>
      <c r="I237" s="1"/>
      <c r="J237" s="1"/>
      <c r="K237" s="1" t="s">
        <v>679</v>
      </c>
    </row>
    <row r="238" spans="1:11" x14ac:dyDescent="0.25">
      <c r="A238" s="6">
        <v>46290</v>
      </c>
      <c r="B238" s="45">
        <v>0.67545138888888889</v>
      </c>
      <c r="C238" s="1" t="s">
        <v>458</v>
      </c>
      <c r="D238" s="1" t="s">
        <v>21</v>
      </c>
      <c r="E238" s="1" t="s">
        <v>5</v>
      </c>
      <c r="F238" s="1">
        <v>3</v>
      </c>
      <c r="G238" s="1">
        <v>980</v>
      </c>
      <c r="H238" s="1">
        <v>977</v>
      </c>
      <c r="I238" s="1"/>
      <c r="J238" s="1"/>
      <c r="K238" s="1" t="s">
        <v>680</v>
      </c>
    </row>
    <row r="239" spans="1:11" x14ac:dyDescent="0.25">
      <c r="A239" s="6">
        <v>46290</v>
      </c>
      <c r="B239" s="45">
        <v>0.67545138888888889</v>
      </c>
      <c r="C239" s="1" t="s">
        <v>458</v>
      </c>
      <c r="D239" s="1" t="s">
        <v>28</v>
      </c>
      <c r="E239" s="1" t="s">
        <v>107</v>
      </c>
      <c r="F239" s="1">
        <v>1</v>
      </c>
      <c r="G239" s="1">
        <v>35</v>
      </c>
      <c r="H239" s="1">
        <v>34</v>
      </c>
      <c r="I239" s="1"/>
      <c r="J239" s="1"/>
      <c r="K239" s="1" t="s">
        <v>680</v>
      </c>
    </row>
    <row r="240" spans="1:11" x14ac:dyDescent="0.25">
      <c r="A240" s="6">
        <v>46290</v>
      </c>
      <c r="B240" s="45">
        <v>0.67929398148148146</v>
      </c>
      <c r="C240" s="1" t="s">
        <v>458</v>
      </c>
      <c r="D240" s="1" t="s">
        <v>21</v>
      </c>
      <c r="E240" s="1" t="s">
        <v>5</v>
      </c>
      <c r="F240" s="1">
        <v>2</v>
      </c>
      <c r="G240" s="1">
        <v>977</v>
      </c>
      <c r="H240" s="1">
        <v>975</v>
      </c>
      <c r="I240" s="1"/>
      <c r="J240" s="1"/>
      <c r="K240" s="1" t="s">
        <v>681</v>
      </c>
    </row>
    <row r="241" spans="1:11" x14ac:dyDescent="0.25">
      <c r="A241" s="6">
        <v>46290</v>
      </c>
      <c r="B241" s="45">
        <v>0.69199074074074074</v>
      </c>
      <c r="C241" s="1" t="s">
        <v>458</v>
      </c>
      <c r="D241" s="1" t="s">
        <v>10</v>
      </c>
      <c r="E241" s="1" t="s">
        <v>15</v>
      </c>
      <c r="F241" s="1">
        <v>1</v>
      </c>
      <c r="G241" s="1">
        <v>37</v>
      </c>
      <c r="H241" s="1">
        <v>36</v>
      </c>
      <c r="I241" s="1"/>
      <c r="J241" s="1"/>
      <c r="K241" s="1" t="s">
        <v>682</v>
      </c>
    </row>
    <row r="242" spans="1:11" ht="30" x14ac:dyDescent="0.25">
      <c r="A242" s="6">
        <v>46290</v>
      </c>
      <c r="B242" s="45">
        <v>0.69199074074074074</v>
      </c>
      <c r="C242" s="1" t="s">
        <v>458</v>
      </c>
      <c r="D242" s="1" t="s">
        <v>112</v>
      </c>
      <c r="E242" s="1" t="s">
        <v>114</v>
      </c>
      <c r="F242" s="1">
        <v>1</v>
      </c>
      <c r="G242" s="1">
        <v>14</v>
      </c>
      <c r="H242" s="1">
        <v>13</v>
      </c>
      <c r="I242" s="1"/>
      <c r="J242" s="1"/>
      <c r="K242" s="1" t="s">
        <v>682</v>
      </c>
    </row>
    <row r="243" spans="1:11" x14ac:dyDescent="0.25">
      <c r="A243" s="6">
        <v>46290</v>
      </c>
      <c r="B243" s="45">
        <v>0.69199074074074074</v>
      </c>
      <c r="C243" s="1" t="s">
        <v>458</v>
      </c>
      <c r="D243" s="1" t="s">
        <v>110</v>
      </c>
      <c r="E243" s="1" t="s">
        <v>115</v>
      </c>
      <c r="F243" s="1">
        <v>1</v>
      </c>
      <c r="G243" s="1">
        <v>9</v>
      </c>
      <c r="H243" s="1">
        <v>8</v>
      </c>
      <c r="I243" s="1"/>
      <c r="J243" s="1"/>
      <c r="K243" s="1" t="s">
        <v>682</v>
      </c>
    </row>
    <row r="244" spans="1:11" x14ac:dyDescent="0.25">
      <c r="A244" s="6">
        <v>46290</v>
      </c>
      <c r="B244" s="45">
        <v>0.69209490740740742</v>
      </c>
      <c r="C244" s="1" t="s">
        <v>458</v>
      </c>
      <c r="D244" s="1" t="s">
        <v>21</v>
      </c>
      <c r="E244" s="1" t="s">
        <v>5</v>
      </c>
      <c r="F244" s="1">
        <v>2</v>
      </c>
      <c r="G244" s="1">
        <v>975</v>
      </c>
      <c r="H244" s="1">
        <v>973</v>
      </c>
      <c r="I244" s="1"/>
      <c r="J244" s="1"/>
      <c r="K244" s="1" t="s">
        <v>683</v>
      </c>
    </row>
    <row r="245" spans="1:11" x14ac:dyDescent="0.25">
      <c r="A245" s="6">
        <v>46290</v>
      </c>
      <c r="B245" s="45">
        <v>0.69847222222222227</v>
      </c>
      <c r="C245" s="1" t="s">
        <v>458</v>
      </c>
      <c r="D245" s="1" t="s">
        <v>21</v>
      </c>
      <c r="E245" s="1" t="s">
        <v>5</v>
      </c>
      <c r="F245" s="1">
        <v>1</v>
      </c>
      <c r="G245" s="1">
        <v>973</v>
      </c>
      <c r="H245" s="1">
        <v>972</v>
      </c>
      <c r="I245" s="1"/>
      <c r="J245" s="1"/>
      <c r="K245" s="1" t="s">
        <v>684</v>
      </c>
    </row>
    <row r="246" spans="1:11" x14ac:dyDescent="0.25">
      <c r="A246" s="6">
        <v>46290</v>
      </c>
      <c r="B246" s="45">
        <v>0.69862268518518522</v>
      </c>
      <c r="C246" s="1" t="s">
        <v>458</v>
      </c>
      <c r="D246" s="1" t="s">
        <v>21</v>
      </c>
      <c r="E246" s="1" t="s">
        <v>5</v>
      </c>
      <c r="F246" s="1">
        <v>3</v>
      </c>
      <c r="G246" s="1">
        <v>972</v>
      </c>
      <c r="H246" s="1">
        <v>969</v>
      </c>
      <c r="I246" s="1"/>
      <c r="J246" s="1"/>
      <c r="K246" s="1" t="s">
        <v>685</v>
      </c>
    </row>
    <row r="247" spans="1:11" x14ac:dyDescent="0.25">
      <c r="A247" s="6">
        <v>46290</v>
      </c>
      <c r="B247" s="45">
        <v>0.69960648148148152</v>
      </c>
      <c r="C247" s="1" t="s">
        <v>458</v>
      </c>
      <c r="D247" s="1" t="s">
        <v>21</v>
      </c>
      <c r="E247" s="1" t="s">
        <v>5</v>
      </c>
      <c r="F247" s="1">
        <v>1</v>
      </c>
      <c r="G247" s="1">
        <v>969</v>
      </c>
      <c r="H247" s="1">
        <v>968</v>
      </c>
      <c r="I247" s="1"/>
      <c r="J247" s="1"/>
      <c r="K247" s="1" t="s">
        <v>686</v>
      </c>
    </row>
    <row r="248" spans="1:11" x14ac:dyDescent="0.25">
      <c r="A248" s="6">
        <v>46290</v>
      </c>
      <c r="B248" s="45">
        <v>0.69960648148148152</v>
      </c>
      <c r="C248" s="1" t="s">
        <v>458</v>
      </c>
      <c r="D248" s="1" t="s">
        <v>25</v>
      </c>
      <c r="E248" s="1" t="s">
        <v>12</v>
      </c>
      <c r="F248" s="1">
        <v>1</v>
      </c>
      <c r="G248" s="1">
        <v>100</v>
      </c>
      <c r="H248" s="1">
        <v>99</v>
      </c>
      <c r="I248" s="1"/>
      <c r="J248" s="1"/>
      <c r="K248" s="1" t="s">
        <v>686</v>
      </c>
    </row>
    <row r="249" spans="1:11" x14ac:dyDescent="0.25">
      <c r="A249" s="6">
        <v>46290</v>
      </c>
      <c r="B249" s="45">
        <v>0.69968750000000002</v>
      </c>
      <c r="C249" s="1" t="s">
        <v>458</v>
      </c>
      <c r="D249" s="1" t="s">
        <v>21</v>
      </c>
      <c r="E249" s="1" t="s">
        <v>5</v>
      </c>
      <c r="F249" s="1">
        <v>4</v>
      </c>
      <c r="G249" s="1">
        <v>968</v>
      </c>
      <c r="H249" s="1">
        <v>964</v>
      </c>
      <c r="I249" s="1"/>
      <c r="J249" s="1"/>
      <c r="K249" s="1" t="s">
        <v>687</v>
      </c>
    </row>
    <row r="250" spans="1:11" x14ac:dyDescent="0.25">
      <c r="A250" s="6">
        <v>46290</v>
      </c>
      <c r="B250" s="45">
        <v>0.69968750000000002</v>
      </c>
      <c r="C250" s="1" t="s">
        <v>458</v>
      </c>
      <c r="D250" s="1" t="s">
        <v>10</v>
      </c>
      <c r="E250" s="1" t="s">
        <v>15</v>
      </c>
      <c r="F250" s="1">
        <v>1</v>
      </c>
      <c r="G250" s="1">
        <v>36</v>
      </c>
      <c r="H250" s="1">
        <v>35</v>
      </c>
      <c r="I250" s="1"/>
      <c r="J250" s="1"/>
      <c r="K250" s="1" t="s">
        <v>687</v>
      </c>
    </row>
    <row r="251" spans="1:11" x14ac:dyDescent="0.25">
      <c r="A251" s="6">
        <v>46290</v>
      </c>
      <c r="B251" s="45">
        <v>0.70763888888888893</v>
      </c>
      <c r="C251" s="1" t="s">
        <v>458</v>
      </c>
      <c r="D251" s="1" t="s">
        <v>28</v>
      </c>
      <c r="E251" s="1" t="s">
        <v>107</v>
      </c>
      <c r="F251" s="1">
        <v>2</v>
      </c>
      <c r="G251" s="1">
        <v>34</v>
      </c>
      <c r="H251" s="1">
        <v>32</v>
      </c>
      <c r="I251" s="1"/>
      <c r="J251" s="1"/>
      <c r="K251" s="1" t="s">
        <v>688</v>
      </c>
    </row>
    <row r="252" spans="1:11" x14ac:dyDescent="0.25">
      <c r="A252" s="6">
        <v>46290</v>
      </c>
      <c r="B252" s="45">
        <v>0.76141203703703708</v>
      </c>
      <c r="C252" s="1" t="s">
        <v>458</v>
      </c>
      <c r="D252" s="1" t="s">
        <v>28</v>
      </c>
      <c r="E252" s="1" t="s">
        <v>107</v>
      </c>
      <c r="F252" s="1">
        <v>2</v>
      </c>
      <c r="G252" s="1">
        <v>32</v>
      </c>
      <c r="H252" s="1">
        <v>30</v>
      </c>
      <c r="I252" s="1"/>
      <c r="J252" s="1"/>
      <c r="K252" s="1" t="s">
        <v>689</v>
      </c>
    </row>
    <row r="253" spans="1:11" ht="30" x14ac:dyDescent="0.25">
      <c r="A253" s="6">
        <v>46290</v>
      </c>
      <c r="B253" s="45">
        <v>0.79230324074074077</v>
      </c>
      <c r="C253" s="1" t="s">
        <v>690</v>
      </c>
      <c r="D253" s="1" t="s">
        <v>631</v>
      </c>
      <c r="E253" s="1" t="s">
        <v>632</v>
      </c>
      <c r="F253" s="1">
        <v>10000</v>
      </c>
      <c r="G253" s="1">
        <v>0</v>
      </c>
      <c r="H253" s="1">
        <v>10000</v>
      </c>
      <c r="I253" s="1"/>
      <c r="J253" s="1"/>
      <c r="K253" s="1" t="s">
        <v>691</v>
      </c>
    </row>
    <row r="254" spans="1:11" x14ac:dyDescent="0.25">
      <c r="A254" s="6">
        <v>46290</v>
      </c>
      <c r="B254" s="45">
        <v>0.79248842592592594</v>
      </c>
      <c r="C254" s="1" t="s">
        <v>458</v>
      </c>
      <c r="D254" s="1" t="s">
        <v>631</v>
      </c>
      <c r="E254" s="1" t="s">
        <v>632</v>
      </c>
      <c r="F254" s="1">
        <v>2</v>
      </c>
      <c r="G254" s="1">
        <v>10000</v>
      </c>
      <c r="H254" s="1">
        <v>9998</v>
      </c>
      <c r="I254" s="1"/>
      <c r="J254" s="1"/>
      <c r="K254" s="1" t="s">
        <v>692</v>
      </c>
    </row>
    <row r="255" spans="1:11" x14ac:dyDescent="0.25">
      <c r="A255" s="6">
        <v>46290</v>
      </c>
      <c r="B255" s="45">
        <v>0.80417824074074074</v>
      </c>
      <c r="C255" s="1" t="s">
        <v>458</v>
      </c>
      <c r="D255" s="1" t="s">
        <v>130</v>
      </c>
      <c r="E255" s="1" t="s">
        <v>132</v>
      </c>
      <c r="F255" s="1">
        <v>1</v>
      </c>
      <c r="G255" s="1">
        <v>94</v>
      </c>
      <c r="H255" s="1">
        <v>93</v>
      </c>
      <c r="I255" s="1"/>
      <c r="J255" s="1"/>
      <c r="K255" s="1" t="s">
        <v>693</v>
      </c>
    </row>
    <row r="256" spans="1:11" x14ac:dyDescent="0.25">
      <c r="A256" s="6">
        <v>46290</v>
      </c>
      <c r="B256" s="45">
        <v>0.80423611111111115</v>
      </c>
      <c r="C256" s="1" t="s">
        <v>458</v>
      </c>
      <c r="D256" s="1" t="s">
        <v>130</v>
      </c>
      <c r="E256" s="1" t="s">
        <v>132</v>
      </c>
      <c r="F256" s="1">
        <v>1</v>
      </c>
      <c r="G256" s="1">
        <v>93</v>
      </c>
      <c r="H256" s="1">
        <v>92</v>
      </c>
      <c r="I256" s="1"/>
      <c r="J256" s="1"/>
      <c r="K256" s="1" t="s">
        <v>694</v>
      </c>
    </row>
    <row r="257" spans="1:11" x14ac:dyDescent="0.25">
      <c r="A257" s="6">
        <v>46290</v>
      </c>
      <c r="B257" s="45">
        <v>0.87053240740740745</v>
      </c>
      <c r="C257" s="1" t="s">
        <v>458</v>
      </c>
      <c r="D257" s="1" t="s">
        <v>110</v>
      </c>
      <c r="E257" s="1" t="s">
        <v>115</v>
      </c>
      <c r="F257" s="1">
        <v>1</v>
      </c>
      <c r="G257" s="1">
        <v>8</v>
      </c>
      <c r="H257" s="1">
        <v>7</v>
      </c>
      <c r="I257" s="1"/>
      <c r="J257" s="1"/>
      <c r="K257" s="1" t="s">
        <v>695</v>
      </c>
    </row>
    <row r="258" spans="1:11" x14ac:dyDescent="0.25">
      <c r="A258" s="6">
        <v>46290</v>
      </c>
      <c r="B258" s="45">
        <v>0.87053240740740745</v>
      </c>
      <c r="C258" s="1" t="s">
        <v>458</v>
      </c>
      <c r="D258" s="1" t="s">
        <v>28</v>
      </c>
      <c r="E258" s="1" t="s">
        <v>107</v>
      </c>
      <c r="F258" s="1">
        <v>3</v>
      </c>
      <c r="G258" s="1">
        <v>30</v>
      </c>
      <c r="H258" s="1">
        <v>27</v>
      </c>
      <c r="I258" s="1"/>
      <c r="J258" s="1"/>
      <c r="K258" s="1" t="s">
        <v>695</v>
      </c>
    </row>
    <row r="259" spans="1:11" x14ac:dyDescent="0.25">
      <c r="A259" s="6">
        <v>46290</v>
      </c>
      <c r="B259" s="45">
        <v>0.87053240740740745</v>
      </c>
      <c r="C259" s="1" t="s">
        <v>458</v>
      </c>
      <c r="D259" s="1" t="s">
        <v>21</v>
      </c>
      <c r="E259" s="1" t="s">
        <v>5</v>
      </c>
      <c r="F259" s="1">
        <v>2</v>
      </c>
      <c r="G259" s="1">
        <v>964</v>
      </c>
      <c r="H259" s="1">
        <v>962</v>
      </c>
      <c r="I259" s="1"/>
      <c r="J259" s="1"/>
      <c r="K259" s="1" t="s">
        <v>695</v>
      </c>
    </row>
    <row r="260" spans="1:11" x14ac:dyDescent="0.25">
      <c r="A260" s="6">
        <v>46290</v>
      </c>
      <c r="B260" s="45">
        <v>0.87053240740740745</v>
      </c>
      <c r="C260" s="1" t="s">
        <v>458</v>
      </c>
      <c r="D260" s="1" t="s">
        <v>65</v>
      </c>
      <c r="E260" s="1" t="s">
        <v>16</v>
      </c>
      <c r="F260" s="1">
        <v>2</v>
      </c>
      <c r="G260" s="1">
        <v>67</v>
      </c>
      <c r="H260" s="1">
        <v>65</v>
      </c>
      <c r="I260" s="1"/>
      <c r="J260" s="1"/>
      <c r="K260" s="1" t="s">
        <v>695</v>
      </c>
    </row>
    <row r="261" spans="1:11" x14ac:dyDescent="0.25">
      <c r="A261" s="6">
        <v>46290</v>
      </c>
      <c r="B261" s="45">
        <v>0.87053240740740745</v>
      </c>
      <c r="C261" s="1" t="s">
        <v>458</v>
      </c>
      <c r="D261" s="1" t="s">
        <v>130</v>
      </c>
      <c r="E261" s="1" t="s">
        <v>132</v>
      </c>
      <c r="F261" s="1">
        <v>1</v>
      </c>
      <c r="G261" s="1">
        <v>92</v>
      </c>
      <c r="H261" s="1">
        <v>91</v>
      </c>
      <c r="I261" s="1"/>
      <c r="J261" s="1"/>
      <c r="K261" s="1" t="s">
        <v>695</v>
      </c>
    </row>
    <row r="262" spans="1:11" x14ac:dyDescent="0.25">
      <c r="A262" s="6">
        <v>46290</v>
      </c>
      <c r="B262" s="45">
        <v>0.87240740740740741</v>
      </c>
      <c r="C262" s="1" t="s">
        <v>458</v>
      </c>
      <c r="D262" s="1" t="s">
        <v>28</v>
      </c>
      <c r="E262" s="1" t="s">
        <v>107</v>
      </c>
      <c r="F262" s="1">
        <v>3</v>
      </c>
      <c r="G262" s="1">
        <v>27</v>
      </c>
      <c r="H262" s="1">
        <v>24</v>
      </c>
      <c r="I262" s="1"/>
      <c r="J262" s="1"/>
      <c r="K262" s="1" t="s">
        <v>696</v>
      </c>
    </row>
    <row r="263" spans="1:11" x14ac:dyDescent="0.25">
      <c r="A263" s="6">
        <v>46290</v>
      </c>
      <c r="B263" s="45">
        <v>0.90489583333333334</v>
      </c>
      <c r="C263" s="1" t="s">
        <v>458</v>
      </c>
      <c r="D263" s="1" t="s">
        <v>21</v>
      </c>
      <c r="E263" s="1" t="s">
        <v>5</v>
      </c>
      <c r="F263" s="1">
        <v>5</v>
      </c>
      <c r="G263" s="1">
        <v>962</v>
      </c>
      <c r="H263" s="1">
        <v>957</v>
      </c>
      <c r="I263" s="1"/>
      <c r="J263" s="1"/>
      <c r="K263" s="1" t="s">
        <v>697</v>
      </c>
    </row>
    <row r="264" spans="1:11" x14ac:dyDescent="0.25">
      <c r="A264" s="6">
        <v>46290</v>
      </c>
      <c r="B264" s="45">
        <v>0.90489583333333334</v>
      </c>
      <c r="C264" s="1" t="s">
        <v>458</v>
      </c>
      <c r="D264" s="1" t="s">
        <v>28</v>
      </c>
      <c r="E264" s="1" t="s">
        <v>107</v>
      </c>
      <c r="F264" s="1">
        <v>1</v>
      </c>
      <c r="G264" s="1">
        <v>24</v>
      </c>
      <c r="H264" s="1">
        <v>23</v>
      </c>
      <c r="I264" s="1"/>
      <c r="J264" s="1"/>
      <c r="K264" s="1" t="s">
        <v>697</v>
      </c>
    </row>
    <row r="265" spans="1:11" x14ac:dyDescent="0.25">
      <c r="A265" s="6">
        <v>46290</v>
      </c>
      <c r="B265" s="45">
        <v>0.90489583333333334</v>
      </c>
      <c r="C265" s="1" t="s">
        <v>458</v>
      </c>
      <c r="D265" s="1" t="s">
        <v>130</v>
      </c>
      <c r="E265" s="1" t="s">
        <v>132</v>
      </c>
      <c r="F265" s="1">
        <v>1</v>
      </c>
      <c r="G265" s="1">
        <v>91</v>
      </c>
      <c r="H265" s="1">
        <v>90</v>
      </c>
      <c r="I265" s="1"/>
      <c r="J265" s="1"/>
      <c r="K265" s="1" t="s">
        <v>697</v>
      </c>
    </row>
    <row r="266" spans="1:11" x14ac:dyDescent="0.25">
      <c r="A266" s="6">
        <v>46290</v>
      </c>
      <c r="B266" s="45">
        <v>0.99861111111111112</v>
      </c>
      <c r="C266" s="1" t="s">
        <v>458</v>
      </c>
      <c r="D266" s="1" t="s">
        <v>130</v>
      </c>
      <c r="E266" s="1" t="s">
        <v>132</v>
      </c>
      <c r="F266" s="1">
        <v>2</v>
      </c>
      <c r="G266" s="1">
        <v>90</v>
      </c>
      <c r="H266" s="1">
        <v>88</v>
      </c>
      <c r="I266" s="1"/>
      <c r="J266" s="1"/>
      <c r="K266" s="1" t="s">
        <v>698</v>
      </c>
    </row>
    <row r="267" spans="1:11" x14ac:dyDescent="0.25">
      <c r="A267" s="6">
        <v>46290</v>
      </c>
      <c r="B267" s="45">
        <v>0.99861111111111112</v>
      </c>
      <c r="C267" s="1" t="s">
        <v>458</v>
      </c>
      <c r="D267" s="1" t="s">
        <v>10</v>
      </c>
      <c r="E267" s="1" t="s">
        <v>15</v>
      </c>
      <c r="F267" s="1">
        <v>2</v>
      </c>
      <c r="G267" s="1">
        <v>35</v>
      </c>
      <c r="H267" s="1">
        <v>33</v>
      </c>
      <c r="I267" s="1"/>
      <c r="J267" s="1"/>
      <c r="K267" s="1" t="s">
        <v>698</v>
      </c>
    </row>
    <row r="268" spans="1:11" x14ac:dyDescent="0.25">
      <c r="A268" s="6">
        <v>46290</v>
      </c>
      <c r="B268" s="45">
        <v>0.99861111111111112</v>
      </c>
      <c r="C268" s="1" t="s">
        <v>458</v>
      </c>
      <c r="D268" s="1" t="s">
        <v>110</v>
      </c>
      <c r="E268" s="1" t="s">
        <v>115</v>
      </c>
      <c r="F268" s="1">
        <v>1</v>
      </c>
      <c r="G268" s="1">
        <v>7</v>
      </c>
      <c r="H268" s="1">
        <v>6</v>
      </c>
      <c r="I268" s="1"/>
      <c r="J268" s="1"/>
      <c r="K268" s="1" t="s">
        <v>698</v>
      </c>
    </row>
    <row r="269" spans="1:11" x14ac:dyDescent="0.25">
      <c r="A269" s="6">
        <v>46290</v>
      </c>
      <c r="B269" s="45">
        <v>0.99861111111111112</v>
      </c>
      <c r="C269" s="1" t="s">
        <v>458</v>
      </c>
      <c r="D269" s="1" t="s">
        <v>302</v>
      </c>
      <c r="E269" s="1" t="s">
        <v>161</v>
      </c>
      <c r="F269" s="1">
        <v>1</v>
      </c>
      <c r="G269" s="1">
        <v>17</v>
      </c>
      <c r="H269" s="1">
        <v>16</v>
      </c>
      <c r="I269" s="1"/>
      <c r="J269" s="1"/>
      <c r="K269" s="1" t="s">
        <v>698</v>
      </c>
    </row>
    <row r="270" spans="1:11" x14ac:dyDescent="0.25">
      <c r="A270" s="6">
        <v>46291</v>
      </c>
      <c r="B270" s="45">
        <v>1.5046296296296296E-3</v>
      </c>
      <c r="C270" s="1" t="s">
        <v>458</v>
      </c>
      <c r="D270" s="1" t="s">
        <v>24</v>
      </c>
      <c r="E270" s="1" t="s">
        <v>105</v>
      </c>
      <c r="F270" s="1">
        <v>2</v>
      </c>
      <c r="G270" s="1">
        <v>30</v>
      </c>
      <c r="H270" s="1">
        <v>28</v>
      </c>
      <c r="I270" s="1"/>
      <c r="J270" s="1"/>
      <c r="K270" s="1" t="s">
        <v>699</v>
      </c>
    </row>
    <row r="271" spans="1:11" x14ac:dyDescent="0.25">
      <c r="A271" s="6">
        <v>46291</v>
      </c>
      <c r="B271" s="45">
        <v>1.5046296296296296E-3</v>
      </c>
      <c r="C271" s="1" t="s">
        <v>458</v>
      </c>
      <c r="D271" s="1" t="s">
        <v>22</v>
      </c>
      <c r="E271" s="1" t="s">
        <v>104</v>
      </c>
      <c r="F271" s="1">
        <v>1</v>
      </c>
      <c r="G271" s="1">
        <v>4</v>
      </c>
      <c r="H271" s="1">
        <v>3</v>
      </c>
      <c r="I271" s="1"/>
      <c r="J271" s="1"/>
      <c r="K271" s="1" t="s">
        <v>699</v>
      </c>
    </row>
    <row r="272" spans="1:11" x14ac:dyDescent="0.25">
      <c r="A272" s="6">
        <v>46291</v>
      </c>
      <c r="B272" s="45">
        <v>2.5810185185185185E-3</v>
      </c>
      <c r="C272" s="1" t="s">
        <v>458</v>
      </c>
      <c r="D272" s="1" t="s">
        <v>10</v>
      </c>
      <c r="E272" s="1" t="s">
        <v>15</v>
      </c>
      <c r="F272" s="1">
        <v>1</v>
      </c>
      <c r="G272" s="1">
        <v>33</v>
      </c>
      <c r="H272" s="1">
        <v>32</v>
      </c>
      <c r="I272" s="1"/>
      <c r="J272" s="1"/>
      <c r="K272" s="1" t="s">
        <v>700</v>
      </c>
    </row>
    <row r="273" spans="1:11" x14ac:dyDescent="0.25">
      <c r="A273" s="6">
        <v>46291</v>
      </c>
      <c r="B273" s="45">
        <v>2.5810185185185185E-3</v>
      </c>
      <c r="C273" s="1" t="s">
        <v>458</v>
      </c>
      <c r="D273" s="1" t="s">
        <v>130</v>
      </c>
      <c r="E273" s="1" t="s">
        <v>132</v>
      </c>
      <c r="F273" s="1">
        <v>1</v>
      </c>
      <c r="G273" s="1">
        <v>88</v>
      </c>
      <c r="H273" s="1">
        <v>87</v>
      </c>
      <c r="I273" s="1"/>
      <c r="J273" s="1"/>
      <c r="K273" s="1" t="s">
        <v>700</v>
      </c>
    </row>
    <row r="274" spans="1:11" x14ac:dyDescent="0.25">
      <c r="A274" s="6">
        <v>46291</v>
      </c>
      <c r="B274" s="45">
        <v>3.7268518518518519E-3</v>
      </c>
      <c r="C274" s="1" t="s">
        <v>458</v>
      </c>
      <c r="D274" s="1" t="s">
        <v>21</v>
      </c>
      <c r="E274" s="1" t="s">
        <v>5</v>
      </c>
      <c r="F274" s="1">
        <v>1</v>
      </c>
      <c r="G274" s="1">
        <v>957</v>
      </c>
      <c r="H274" s="1">
        <v>956</v>
      </c>
      <c r="I274" s="1"/>
      <c r="J274" s="1"/>
      <c r="K274" s="1" t="s">
        <v>701</v>
      </c>
    </row>
    <row r="275" spans="1:11" x14ac:dyDescent="0.25">
      <c r="A275" s="6">
        <v>46291</v>
      </c>
      <c r="B275" s="45">
        <v>3.9120370370370368E-3</v>
      </c>
      <c r="C275" s="1" t="s">
        <v>458</v>
      </c>
      <c r="D275" s="1" t="s">
        <v>28</v>
      </c>
      <c r="E275" s="1" t="s">
        <v>107</v>
      </c>
      <c r="F275" s="1">
        <v>1</v>
      </c>
      <c r="G275" s="1">
        <v>23</v>
      </c>
      <c r="H275" s="1">
        <v>22</v>
      </c>
      <c r="I275" s="1"/>
      <c r="J275" s="1"/>
      <c r="K275" s="1" t="s">
        <v>702</v>
      </c>
    </row>
    <row r="276" spans="1:11" x14ac:dyDescent="0.25">
      <c r="A276" s="6">
        <v>46291</v>
      </c>
      <c r="B276" s="45">
        <v>4.2013888888888891E-3</v>
      </c>
      <c r="C276" s="1" t="s">
        <v>458</v>
      </c>
      <c r="D276" s="1" t="s">
        <v>24</v>
      </c>
      <c r="E276" s="1" t="s">
        <v>105</v>
      </c>
      <c r="F276" s="1">
        <v>2</v>
      </c>
      <c r="G276" s="1">
        <v>28</v>
      </c>
      <c r="H276" s="1">
        <v>26</v>
      </c>
      <c r="I276" s="1"/>
      <c r="J276" s="1"/>
      <c r="K276" s="1" t="s">
        <v>703</v>
      </c>
    </row>
    <row r="277" spans="1:11" x14ac:dyDescent="0.25">
      <c r="A277" s="6">
        <v>46291</v>
      </c>
      <c r="B277" s="45">
        <v>4.2013888888888891E-3</v>
      </c>
      <c r="C277" s="1" t="s">
        <v>458</v>
      </c>
      <c r="D277" s="1" t="s">
        <v>28</v>
      </c>
      <c r="E277" s="1" t="s">
        <v>107</v>
      </c>
      <c r="F277" s="1">
        <v>1</v>
      </c>
      <c r="G277" s="1">
        <v>22</v>
      </c>
      <c r="H277" s="1">
        <v>21</v>
      </c>
      <c r="I277" s="1"/>
      <c r="J277" s="1"/>
      <c r="K277" s="1" t="s">
        <v>703</v>
      </c>
    </row>
    <row r="278" spans="1:11" ht="30" x14ac:dyDescent="0.25">
      <c r="A278" s="6">
        <v>46291</v>
      </c>
      <c r="B278" s="45">
        <v>0.79870370370370369</v>
      </c>
      <c r="C278" s="1" t="s">
        <v>458</v>
      </c>
      <c r="D278" s="1" t="s">
        <v>112</v>
      </c>
      <c r="E278" s="1" t="s">
        <v>114</v>
      </c>
      <c r="F278" s="1">
        <v>1</v>
      </c>
      <c r="G278" s="1">
        <v>13</v>
      </c>
      <c r="H278" s="1">
        <v>12</v>
      </c>
      <c r="I278" s="1"/>
      <c r="J278" s="1"/>
      <c r="K278" s="1" t="s">
        <v>704</v>
      </c>
    </row>
    <row r="279" spans="1:11" x14ac:dyDescent="0.25">
      <c r="A279" s="6">
        <v>46291</v>
      </c>
      <c r="B279" s="45">
        <v>0.79870370370370369</v>
      </c>
      <c r="C279" s="1" t="s">
        <v>458</v>
      </c>
      <c r="D279" s="1" t="s">
        <v>190</v>
      </c>
      <c r="E279" s="1" t="s">
        <v>184</v>
      </c>
      <c r="F279" s="1">
        <v>1</v>
      </c>
      <c r="G279" s="1">
        <v>12</v>
      </c>
      <c r="H279" s="1">
        <v>11</v>
      </c>
      <c r="I279" s="1"/>
      <c r="J279" s="1"/>
      <c r="K279" s="1" t="s">
        <v>704</v>
      </c>
    </row>
    <row r="280" spans="1:11" x14ac:dyDescent="0.25">
      <c r="A280" s="6">
        <v>46291</v>
      </c>
      <c r="B280" s="45">
        <v>0.80829861111111112</v>
      </c>
      <c r="C280" s="1" t="s">
        <v>458</v>
      </c>
      <c r="D280" s="1" t="s">
        <v>10</v>
      </c>
      <c r="E280" s="1" t="s">
        <v>15</v>
      </c>
      <c r="F280" s="1">
        <v>1</v>
      </c>
      <c r="G280" s="1">
        <v>32</v>
      </c>
      <c r="H280" s="1">
        <v>31</v>
      </c>
      <c r="I280" s="1"/>
      <c r="J280" s="1"/>
      <c r="K280" s="1" t="s">
        <v>705</v>
      </c>
    </row>
    <row r="281" spans="1:11" x14ac:dyDescent="0.25">
      <c r="A281" s="6">
        <v>46291</v>
      </c>
      <c r="B281" s="45">
        <v>0.80829861111111112</v>
      </c>
      <c r="C281" s="1" t="s">
        <v>458</v>
      </c>
      <c r="D281" s="1" t="s">
        <v>164</v>
      </c>
      <c r="E281" s="1" t="s">
        <v>165</v>
      </c>
      <c r="F281" s="1">
        <v>1</v>
      </c>
      <c r="G281" s="1">
        <v>20</v>
      </c>
      <c r="H281" s="1">
        <v>19</v>
      </c>
      <c r="I281" s="1"/>
      <c r="J281" s="1"/>
      <c r="K281" s="1" t="s">
        <v>705</v>
      </c>
    </row>
    <row r="282" spans="1:11" ht="30" x14ac:dyDescent="0.25">
      <c r="A282" s="6">
        <v>46291</v>
      </c>
      <c r="B282" s="45">
        <v>0.81354166666666672</v>
      </c>
      <c r="C282" s="1" t="s">
        <v>458</v>
      </c>
      <c r="D282" s="1" t="s">
        <v>113</v>
      </c>
      <c r="E282" s="1" t="s">
        <v>171</v>
      </c>
      <c r="F282" s="1">
        <v>1</v>
      </c>
      <c r="G282" s="1">
        <v>14</v>
      </c>
      <c r="H282" s="1">
        <v>13</v>
      </c>
      <c r="I282" s="1"/>
      <c r="J282" s="1"/>
      <c r="K282" s="1" t="s">
        <v>706</v>
      </c>
    </row>
    <row r="283" spans="1:11" x14ac:dyDescent="0.25">
      <c r="A283" s="6">
        <v>46291</v>
      </c>
      <c r="B283" s="45">
        <v>0.81354166666666672</v>
      </c>
      <c r="C283" s="1" t="s">
        <v>458</v>
      </c>
      <c r="D283" s="1" t="s">
        <v>23</v>
      </c>
      <c r="E283" s="1" t="s">
        <v>13</v>
      </c>
      <c r="F283" s="1">
        <v>1</v>
      </c>
      <c r="G283" s="1">
        <v>100</v>
      </c>
      <c r="H283" s="1">
        <v>99</v>
      </c>
      <c r="I283" s="1"/>
      <c r="J283" s="1"/>
      <c r="K283" s="1" t="s">
        <v>706</v>
      </c>
    </row>
    <row r="284" spans="1:11" x14ac:dyDescent="0.25">
      <c r="A284" s="6">
        <v>46291</v>
      </c>
      <c r="B284" s="45">
        <v>0.85873842592592597</v>
      </c>
      <c r="C284" s="1" t="s">
        <v>458</v>
      </c>
      <c r="D284" s="1" t="s">
        <v>21</v>
      </c>
      <c r="E284" s="1" t="s">
        <v>5</v>
      </c>
      <c r="F284" s="1">
        <v>1</v>
      </c>
      <c r="G284" s="1">
        <v>956</v>
      </c>
      <c r="H284" s="1">
        <v>955</v>
      </c>
      <c r="I284" s="1"/>
      <c r="J284" s="1"/>
      <c r="K284" s="1" t="s">
        <v>707</v>
      </c>
    </row>
    <row r="285" spans="1:11" x14ac:dyDescent="0.25">
      <c r="A285" s="6">
        <v>46291</v>
      </c>
      <c r="B285" s="45">
        <v>0.86045138888888884</v>
      </c>
      <c r="C285" s="1" t="s">
        <v>458</v>
      </c>
      <c r="D285" s="1" t="s">
        <v>32</v>
      </c>
      <c r="E285" s="1" t="s">
        <v>9</v>
      </c>
      <c r="F285" s="1">
        <v>3</v>
      </c>
      <c r="G285" s="1">
        <v>42</v>
      </c>
      <c r="H285" s="1">
        <v>39</v>
      </c>
      <c r="I285" s="1"/>
      <c r="J285" s="1"/>
      <c r="K285" s="1" t="s">
        <v>708</v>
      </c>
    </row>
    <row r="286" spans="1:11" x14ac:dyDescent="0.25">
      <c r="A286" s="6">
        <v>46291</v>
      </c>
      <c r="B286" s="45">
        <v>0.8606597222222222</v>
      </c>
      <c r="C286" s="1" t="s">
        <v>458</v>
      </c>
      <c r="D286" s="1" t="s">
        <v>110</v>
      </c>
      <c r="E286" s="1" t="s">
        <v>115</v>
      </c>
      <c r="F286" s="1">
        <v>1</v>
      </c>
      <c r="G286" s="1">
        <v>6</v>
      </c>
      <c r="H286" s="1">
        <v>5</v>
      </c>
      <c r="I286" s="1"/>
      <c r="J286" s="1"/>
      <c r="K286" s="1" t="s">
        <v>709</v>
      </c>
    </row>
    <row r="287" spans="1:11" x14ac:dyDescent="0.25">
      <c r="A287" s="6">
        <v>46291</v>
      </c>
      <c r="B287" s="45">
        <v>0.8606597222222222</v>
      </c>
      <c r="C287" s="1" t="s">
        <v>458</v>
      </c>
      <c r="D287" s="1" t="s">
        <v>65</v>
      </c>
      <c r="E287" s="1" t="s">
        <v>16</v>
      </c>
      <c r="F287" s="1">
        <v>2</v>
      </c>
      <c r="G287" s="1">
        <v>65</v>
      </c>
      <c r="H287" s="1">
        <v>63</v>
      </c>
      <c r="I287" s="1"/>
      <c r="J287" s="1"/>
      <c r="K287" s="1" t="s">
        <v>709</v>
      </c>
    </row>
    <row r="288" spans="1:11" ht="30" x14ac:dyDescent="0.25">
      <c r="A288" s="6">
        <v>46291</v>
      </c>
      <c r="B288" s="45">
        <v>0.8606597222222222</v>
      </c>
      <c r="C288" s="1" t="s">
        <v>458</v>
      </c>
      <c r="D288" s="1" t="s">
        <v>127</v>
      </c>
      <c r="E288" s="1" t="s">
        <v>128</v>
      </c>
      <c r="F288" s="1">
        <v>1</v>
      </c>
      <c r="G288" s="1">
        <v>16</v>
      </c>
      <c r="H288" s="1">
        <v>15</v>
      </c>
      <c r="I288" s="1"/>
      <c r="J288" s="1"/>
      <c r="K288" s="1" t="s">
        <v>709</v>
      </c>
    </row>
    <row r="289" spans="1:11" x14ac:dyDescent="0.25">
      <c r="A289" s="6">
        <v>46291</v>
      </c>
      <c r="B289" s="45">
        <v>0.86092592592592587</v>
      </c>
      <c r="C289" s="1" t="s">
        <v>458</v>
      </c>
      <c r="D289" s="1" t="s">
        <v>110</v>
      </c>
      <c r="E289" s="1" t="s">
        <v>115</v>
      </c>
      <c r="F289" s="1">
        <v>1</v>
      </c>
      <c r="G289" s="1">
        <v>5</v>
      </c>
      <c r="H289" s="1">
        <v>4</v>
      </c>
      <c r="I289" s="1"/>
      <c r="J289" s="1"/>
      <c r="K289" s="1" t="s">
        <v>710</v>
      </c>
    </row>
    <row r="290" spans="1:11" x14ac:dyDescent="0.25">
      <c r="A290" s="6">
        <v>46291</v>
      </c>
      <c r="B290" s="45">
        <v>0.86578703703703708</v>
      </c>
      <c r="C290" s="1" t="s">
        <v>458</v>
      </c>
      <c r="D290" s="1" t="s">
        <v>24</v>
      </c>
      <c r="E290" s="1" t="s">
        <v>105</v>
      </c>
      <c r="F290" s="1">
        <v>1</v>
      </c>
      <c r="G290" s="1">
        <v>26</v>
      </c>
      <c r="H290" s="1">
        <v>25</v>
      </c>
      <c r="I290" s="1"/>
      <c r="J290" s="1"/>
      <c r="K290" s="1" t="s">
        <v>711</v>
      </c>
    </row>
    <row r="291" spans="1:11" x14ac:dyDescent="0.25">
      <c r="A291" s="6">
        <v>46291</v>
      </c>
      <c r="B291" s="45">
        <v>0.86578703703703708</v>
      </c>
      <c r="C291" s="1" t="s">
        <v>458</v>
      </c>
      <c r="D291" s="1" t="s">
        <v>10</v>
      </c>
      <c r="E291" s="1" t="s">
        <v>15</v>
      </c>
      <c r="F291" s="1">
        <v>1</v>
      </c>
      <c r="G291" s="1">
        <v>31</v>
      </c>
      <c r="H291" s="1">
        <v>30</v>
      </c>
      <c r="I291" s="1"/>
      <c r="J291" s="1"/>
      <c r="K291" s="1" t="s">
        <v>711</v>
      </c>
    </row>
    <row r="292" spans="1:11" x14ac:dyDescent="0.25">
      <c r="A292" s="6">
        <v>46291</v>
      </c>
      <c r="B292" s="45">
        <v>0.86578703703703708</v>
      </c>
      <c r="C292" s="1" t="s">
        <v>458</v>
      </c>
      <c r="D292" s="1" t="s">
        <v>23</v>
      </c>
      <c r="E292" s="1" t="s">
        <v>13</v>
      </c>
      <c r="F292" s="1">
        <v>1</v>
      </c>
      <c r="G292" s="1">
        <v>99</v>
      </c>
      <c r="H292" s="1">
        <v>98</v>
      </c>
      <c r="I292" s="1"/>
      <c r="J292" s="1"/>
      <c r="K292" s="1" t="s">
        <v>711</v>
      </c>
    </row>
    <row r="293" spans="1:11" x14ac:dyDescent="0.25">
      <c r="A293" s="6">
        <v>46291</v>
      </c>
      <c r="B293" s="45">
        <v>0.93427083333333338</v>
      </c>
      <c r="C293" s="1" t="s">
        <v>458</v>
      </c>
      <c r="D293" s="1" t="s">
        <v>164</v>
      </c>
      <c r="E293" s="1" t="s">
        <v>165</v>
      </c>
      <c r="F293" s="1">
        <v>1</v>
      </c>
      <c r="G293" s="1">
        <v>19</v>
      </c>
      <c r="H293" s="1">
        <v>18</v>
      </c>
      <c r="I293" s="1"/>
      <c r="J293" s="1"/>
      <c r="K293" s="1" t="s">
        <v>712</v>
      </c>
    </row>
    <row r="294" spans="1:11" x14ac:dyDescent="0.25">
      <c r="A294" s="6">
        <v>46291</v>
      </c>
      <c r="B294" s="45">
        <v>0.93451388888888887</v>
      </c>
      <c r="C294" s="1" t="s">
        <v>458</v>
      </c>
      <c r="D294" s="1" t="s">
        <v>182</v>
      </c>
      <c r="E294" s="1" t="s">
        <v>183</v>
      </c>
      <c r="F294" s="1">
        <v>1</v>
      </c>
      <c r="G294" s="1">
        <v>14</v>
      </c>
      <c r="H294" s="1">
        <v>13</v>
      </c>
      <c r="I294" s="1"/>
      <c r="J294" s="1"/>
      <c r="K294" s="1" t="s">
        <v>713</v>
      </c>
    </row>
    <row r="295" spans="1:11" ht="30" x14ac:dyDescent="0.25">
      <c r="A295" s="6">
        <v>46291</v>
      </c>
      <c r="B295" s="45">
        <v>0.93451388888888887</v>
      </c>
      <c r="C295" s="1" t="s">
        <v>458</v>
      </c>
      <c r="D295" s="1" t="s">
        <v>127</v>
      </c>
      <c r="E295" s="1" t="s">
        <v>128</v>
      </c>
      <c r="F295" s="1">
        <v>1</v>
      </c>
      <c r="G295" s="1">
        <v>15</v>
      </c>
      <c r="H295" s="1">
        <v>14</v>
      </c>
      <c r="I295" s="1"/>
      <c r="J295" s="1"/>
      <c r="K295" s="1" t="s">
        <v>713</v>
      </c>
    </row>
    <row r="296" spans="1:11" x14ac:dyDescent="0.25">
      <c r="A296" s="6">
        <v>46291</v>
      </c>
      <c r="B296" s="45">
        <v>0.94063657407407408</v>
      </c>
      <c r="C296" s="1" t="s">
        <v>458</v>
      </c>
      <c r="D296" s="1" t="s">
        <v>21</v>
      </c>
      <c r="E296" s="1" t="s">
        <v>5</v>
      </c>
      <c r="F296" s="1">
        <v>2</v>
      </c>
      <c r="G296" s="1">
        <v>955</v>
      </c>
      <c r="H296" s="1">
        <v>953</v>
      </c>
      <c r="I296" s="1"/>
      <c r="J296" s="1"/>
      <c r="K296" s="1" t="s">
        <v>714</v>
      </c>
    </row>
    <row r="297" spans="1:11" x14ac:dyDescent="0.25">
      <c r="A297" s="6">
        <v>46291</v>
      </c>
      <c r="B297" s="45">
        <v>0.96319444444444446</v>
      </c>
      <c r="C297" s="1" t="s">
        <v>458</v>
      </c>
      <c r="D297" s="1" t="s">
        <v>10</v>
      </c>
      <c r="E297" s="1" t="s">
        <v>15</v>
      </c>
      <c r="F297" s="1">
        <v>1</v>
      </c>
      <c r="G297" s="1">
        <v>30</v>
      </c>
      <c r="H297" s="1">
        <v>29</v>
      </c>
      <c r="I297" s="1"/>
      <c r="J297" s="1"/>
      <c r="K297" s="1" t="s">
        <v>715</v>
      </c>
    </row>
    <row r="298" spans="1:11" x14ac:dyDescent="0.25">
      <c r="A298" s="6">
        <v>46291</v>
      </c>
      <c r="B298" s="45">
        <v>0.96596064814814819</v>
      </c>
      <c r="C298" s="1" t="s">
        <v>458</v>
      </c>
      <c r="D298" s="1" t="s">
        <v>10</v>
      </c>
      <c r="E298" s="1" t="s">
        <v>15</v>
      </c>
      <c r="F298" s="1">
        <v>1</v>
      </c>
      <c r="G298" s="1">
        <v>29</v>
      </c>
      <c r="H298" s="1">
        <v>28</v>
      </c>
      <c r="I298" s="1"/>
      <c r="J298" s="1"/>
      <c r="K298" s="1" t="s">
        <v>716</v>
      </c>
    </row>
    <row r="299" spans="1:11" ht="30" x14ac:dyDescent="0.25">
      <c r="A299" s="6">
        <v>46291</v>
      </c>
      <c r="B299" s="45">
        <v>0.96946759259259263</v>
      </c>
      <c r="C299" s="1" t="s">
        <v>458</v>
      </c>
      <c r="D299" s="1" t="s">
        <v>127</v>
      </c>
      <c r="E299" s="1" t="s">
        <v>128</v>
      </c>
      <c r="F299" s="1">
        <v>2</v>
      </c>
      <c r="G299" s="1">
        <v>14</v>
      </c>
      <c r="H299" s="1">
        <v>12</v>
      </c>
      <c r="I299" s="1"/>
      <c r="J299" s="1"/>
      <c r="K299" s="1" t="s">
        <v>717</v>
      </c>
    </row>
    <row r="300" spans="1:11" x14ac:dyDescent="0.25">
      <c r="A300" s="6">
        <v>46291</v>
      </c>
      <c r="B300" s="45">
        <v>0.96946759259259263</v>
      </c>
      <c r="C300" s="1" t="s">
        <v>458</v>
      </c>
      <c r="D300" s="1" t="s">
        <v>21</v>
      </c>
      <c r="E300" s="1" t="s">
        <v>5</v>
      </c>
      <c r="F300" s="1">
        <v>1</v>
      </c>
      <c r="G300" s="1">
        <v>953</v>
      </c>
      <c r="H300" s="1">
        <v>952</v>
      </c>
      <c r="I300" s="1"/>
      <c r="J300" s="1"/>
      <c r="K300" s="1" t="s">
        <v>717</v>
      </c>
    </row>
    <row r="301" spans="1:11" ht="30" x14ac:dyDescent="0.25">
      <c r="A301" s="6">
        <v>46291</v>
      </c>
      <c r="B301" s="45">
        <v>0.98155092592592597</v>
      </c>
      <c r="C301" s="1" t="s">
        <v>458</v>
      </c>
      <c r="D301" s="1" t="s">
        <v>112</v>
      </c>
      <c r="E301" s="1" t="s">
        <v>114</v>
      </c>
      <c r="F301" s="1">
        <v>2</v>
      </c>
      <c r="G301" s="1">
        <v>12</v>
      </c>
      <c r="H301" s="1">
        <v>10</v>
      </c>
      <c r="I301" s="1"/>
      <c r="J301" s="1"/>
      <c r="K301" s="1" t="s">
        <v>718</v>
      </c>
    </row>
    <row r="302" spans="1:11" ht="30" x14ac:dyDescent="0.25">
      <c r="A302" s="6">
        <v>46291</v>
      </c>
      <c r="B302" s="45">
        <v>0.9815625</v>
      </c>
      <c r="C302" s="1" t="s">
        <v>458</v>
      </c>
      <c r="D302" s="1" t="s">
        <v>113</v>
      </c>
      <c r="E302" s="1" t="s">
        <v>171</v>
      </c>
      <c r="F302" s="1">
        <v>1</v>
      </c>
      <c r="G302" s="1">
        <v>13</v>
      </c>
      <c r="H302" s="1">
        <v>12</v>
      </c>
      <c r="I302" s="1"/>
      <c r="J302" s="1"/>
      <c r="K302" s="1" t="s">
        <v>718</v>
      </c>
    </row>
    <row r="303" spans="1:11" x14ac:dyDescent="0.25">
      <c r="A303" s="6">
        <v>46291</v>
      </c>
      <c r="B303" s="45">
        <v>0.98170138888888892</v>
      </c>
      <c r="C303" s="1" t="s">
        <v>458</v>
      </c>
      <c r="D303" s="1" t="s">
        <v>10</v>
      </c>
      <c r="E303" s="1" t="s">
        <v>15</v>
      </c>
      <c r="F303" s="1">
        <v>1</v>
      </c>
      <c r="G303" s="1">
        <v>28</v>
      </c>
      <c r="H303" s="1">
        <v>27</v>
      </c>
      <c r="I303" s="1"/>
      <c r="J303" s="1"/>
      <c r="K303" s="1" t="s">
        <v>719</v>
      </c>
    </row>
    <row r="304" spans="1:11" ht="30" x14ac:dyDescent="0.25">
      <c r="A304" s="6">
        <v>46291</v>
      </c>
      <c r="B304" s="45">
        <v>0.98170138888888892</v>
      </c>
      <c r="C304" s="1" t="s">
        <v>458</v>
      </c>
      <c r="D304" s="1" t="s">
        <v>113</v>
      </c>
      <c r="E304" s="1" t="s">
        <v>171</v>
      </c>
      <c r="F304" s="1">
        <v>1</v>
      </c>
      <c r="G304" s="1">
        <v>12</v>
      </c>
      <c r="H304" s="1">
        <v>11</v>
      </c>
      <c r="I304" s="1"/>
      <c r="J304" s="1"/>
      <c r="K304" s="1" t="s">
        <v>719</v>
      </c>
    </row>
    <row r="305" spans="1:11" x14ac:dyDescent="0.25">
      <c r="A305" s="6">
        <v>46291</v>
      </c>
      <c r="B305" s="45">
        <v>0.98170138888888892</v>
      </c>
      <c r="C305" s="1" t="s">
        <v>458</v>
      </c>
      <c r="D305" s="1" t="s">
        <v>301</v>
      </c>
      <c r="E305" s="1" t="s">
        <v>191</v>
      </c>
      <c r="F305" s="1">
        <v>1</v>
      </c>
      <c r="G305" s="1">
        <v>996</v>
      </c>
      <c r="H305" s="1">
        <v>995</v>
      </c>
      <c r="I305" s="1"/>
      <c r="J305" s="1"/>
      <c r="K305" s="1" t="s">
        <v>719</v>
      </c>
    </row>
    <row r="306" spans="1:11" ht="30" x14ac:dyDescent="0.25">
      <c r="A306" s="6">
        <v>46291</v>
      </c>
      <c r="B306" s="45">
        <v>0.98221064814814818</v>
      </c>
      <c r="C306" s="1" t="s">
        <v>458</v>
      </c>
      <c r="D306" s="1" t="s">
        <v>127</v>
      </c>
      <c r="E306" s="1" t="s">
        <v>128</v>
      </c>
      <c r="F306" s="1">
        <v>1</v>
      </c>
      <c r="G306" s="1">
        <v>12</v>
      </c>
      <c r="H306" s="1">
        <v>11</v>
      </c>
      <c r="I306" s="1"/>
      <c r="J306" s="1"/>
      <c r="K306" s="1" t="s">
        <v>720</v>
      </c>
    </row>
    <row r="307" spans="1:11" x14ac:dyDescent="0.25">
      <c r="A307" s="6">
        <v>46291</v>
      </c>
      <c r="B307" s="45">
        <v>0.98340277777777774</v>
      </c>
      <c r="C307" s="1" t="s">
        <v>458</v>
      </c>
      <c r="D307" s="1" t="s">
        <v>65</v>
      </c>
      <c r="E307" s="1" t="s">
        <v>16</v>
      </c>
      <c r="F307" s="1">
        <v>1</v>
      </c>
      <c r="G307" s="1">
        <v>63</v>
      </c>
      <c r="H307" s="1">
        <v>62</v>
      </c>
      <c r="I307" s="1"/>
      <c r="J307" s="1"/>
      <c r="K307" s="1" t="s">
        <v>721</v>
      </c>
    </row>
    <row r="308" spans="1:11" x14ac:dyDescent="0.25">
      <c r="A308" s="6">
        <v>46291</v>
      </c>
      <c r="B308" s="45">
        <v>0.98340277777777774</v>
      </c>
      <c r="C308" s="1" t="s">
        <v>458</v>
      </c>
      <c r="D308" s="1" t="s">
        <v>302</v>
      </c>
      <c r="E308" s="1" t="s">
        <v>161</v>
      </c>
      <c r="F308" s="1">
        <v>2</v>
      </c>
      <c r="G308" s="1">
        <v>16</v>
      </c>
      <c r="H308" s="1">
        <v>14</v>
      </c>
      <c r="I308" s="1"/>
      <c r="J308" s="1"/>
      <c r="K308" s="1" t="s">
        <v>721</v>
      </c>
    </row>
    <row r="309" spans="1:11" x14ac:dyDescent="0.25">
      <c r="A309" s="6">
        <v>46291</v>
      </c>
      <c r="B309" s="45">
        <v>0.98340277777777774</v>
      </c>
      <c r="C309" s="1" t="s">
        <v>458</v>
      </c>
      <c r="D309" s="1" t="s">
        <v>21</v>
      </c>
      <c r="E309" s="1" t="s">
        <v>5</v>
      </c>
      <c r="F309" s="1">
        <v>1</v>
      </c>
      <c r="G309" s="1">
        <v>952</v>
      </c>
      <c r="H309" s="1">
        <v>951</v>
      </c>
      <c r="I309" s="1"/>
      <c r="J309" s="1"/>
      <c r="K309" s="1" t="s">
        <v>721</v>
      </c>
    </row>
    <row r="310" spans="1:11" x14ac:dyDescent="0.25">
      <c r="A310" s="6">
        <v>46291</v>
      </c>
      <c r="B310" s="45">
        <v>0.98376157407407405</v>
      </c>
      <c r="C310" s="1" t="s">
        <v>458</v>
      </c>
      <c r="D310" s="1" t="s">
        <v>24</v>
      </c>
      <c r="E310" s="1" t="s">
        <v>105</v>
      </c>
      <c r="F310" s="1">
        <v>1</v>
      </c>
      <c r="G310" s="1">
        <v>25</v>
      </c>
      <c r="H310" s="1">
        <v>24</v>
      </c>
      <c r="I310" s="1"/>
      <c r="J310" s="1"/>
      <c r="K310" s="1" t="s">
        <v>722</v>
      </c>
    </row>
    <row r="311" spans="1:11" x14ac:dyDescent="0.25">
      <c r="A311" s="6">
        <v>46292</v>
      </c>
      <c r="B311" s="45">
        <v>3.3599537037037039E-2</v>
      </c>
      <c r="C311" s="1" t="s">
        <v>458</v>
      </c>
      <c r="D311" s="1" t="s">
        <v>65</v>
      </c>
      <c r="E311" s="1" t="s">
        <v>16</v>
      </c>
      <c r="F311" s="1">
        <v>1</v>
      </c>
      <c r="G311" s="1">
        <v>62</v>
      </c>
      <c r="H311" s="1">
        <v>61</v>
      </c>
      <c r="I311" s="1"/>
      <c r="J311" s="1"/>
      <c r="K311" s="1" t="s">
        <v>723</v>
      </c>
    </row>
    <row r="312" spans="1:11" x14ac:dyDescent="0.25">
      <c r="A312" s="6">
        <v>46292</v>
      </c>
      <c r="B312" s="45">
        <v>3.3900462962962966E-2</v>
      </c>
      <c r="C312" s="1" t="s">
        <v>458</v>
      </c>
      <c r="D312" s="1" t="s">
        <v>65</v>
      </c>
      <c r="E312" s="1" t="s">
        <v>16</v>
      </c>
      <c r="F312" s="1">
        <v>1</v>
      </c>
      <c r="G312" s="1">
        <v>61</v>
      </c>
      <c r="H312" s="1">
        <v>60</v>
      </c>
      <c r="I312" s="1"/>
      <c r="J312" s="1"/>
      <c r="K312" s="1" t="s">
        <v>723</v>
      </c>
    </row>
    <row r="313" spans="1:11" x14ac:dyDescent="0.25">
      <c r="A313" s="6">
        <v>46292</v>
      </c>
      <c r="B313" s="45">
        <v>3.4594907407407408E-2</v>
      </c>
      <c r="C313" s="1" t="s">
        <v>458</v>
      </c>
      <c r="D313" s="1" t="s">
        <v>10</v>
      </c>
      <c r="E313" s="1" t="s">
        <v>15</v>
      </c>
      <c r="F313" s="1">
        <v>2</v>
      </c>
      <c r="G313" s="1">
        <v>27</v>
      </c>
      <c r="H313" s="1">
        <v>25</v>
      </c>
      <c r="I313" s="1"/>
      <c r="J313" s="1"/>
      <c r="K313" s="1" t="s">
        <v>724</v>
      </c>
    </row>
    <row r="314" spans="1:11" x14ac:dyDescent="0.25">
      <c r="A314" s="6">
        <v>46292</v>
      </c>
      <c r="B314" s="45">
        <v>3.4594907407407408E-2</v>
      </c>
      <c r="C314" s="1" t="s">
        <v>458</v>
      </c>
      <c r="D314" s="1" t="s">
        <v>517</v>
      </c>
      <c r="E314" s="1" t="s">
        <v>518</v>
      </c>
      <c r="F314" s="1">
        <v>1</v>
      </c>
      <c r="G314" s="1">
        <v>997</v>
      </c>
      <c r="H314" s="1">
        <v>996</v>
      </c>
      <c r="I314" s="1"/>
      <c r="J314" s="1"/>
      <c r="K314" s="1" t="s">
        <v>724</v>
      </c>
    </row>
    <row r="315" spans="1:11" ht="30" x14ac:dyDescent="0.25">
      <c r="A315" s="6">
        <v>46292</v>
      </c>
      <c r="B315" s="45">
        <v>3.5763888888888887E-2</v>
      </c>
      <c r="C315" s="1" t="s">
        <v>458</v>
      </c>
      <c r="D315" s="1" t="s">
        <v>27</v>
      </c>
      <c r="E315" s="1" t="s">
        <v>106</v>
      </c>
      <c r="F315" s="1">
        <v>1</v>
      </c>
      <c r="G315" s="1">
        <v>11</v>
      </c>
      <c r="H315" s="1">
        <v>10</v>
      </c>
      <c r="I315" s="1"/>
      <c r="J315" s="1"/>
      <c r="K315" s="1" t="s">
        <v>725</v>
      </c>
    </row>
    <row r="316" spans="1:11" x14ac:dyDescent="0.25">
      <c r="A316" s="6">
        <v>46292</v>
      </c>
      <c r="B316" s="45">
        <v>0.45996527777777779</v>
      </c>
      <c r="C316" s="1" t="s">
        <v>458</v>
      </c>
      <c r="D316" s="1" t="s">
        <v>21</v>
      </c>
      <c r="E316" s="1" t="s">
        <v>5</v>
      </c>
      <c r="F316" s="1">
        <v>1</v>
      </c>
      <c r="G316" s="1">
        <v>951</v>
      </c>
      <c r="H316" s="1">
        <v>950</v>
      </c>
      <c r="I316" s="1"/>
      <c r="J316" s="1"/>
      <c r="K316" s="1" t="s">
        <v>726</v>
      </c>
    </row>
    <row r="317" spans="1:11" x14ac:dyDescent="0.25">
      <c r="A317" s="6">
        <v>46292</v>
      </c>
      <c r="B317" s="45">
        <v>0.46003472222222225</v>
      </c>
      <c r="C317" s="1" t="s">
        <v>458</v>
      </c>
      <c r="D317" s="1" t="s">
        <v>21</v>
      </c>
      <c r="E317" s="1" t="s">
        <v>5</v>
      </c>
      <c r="F317" s="1">
        <v>1</v>
      </c>
      <c r="G317" s="1">
        <v>950</v>
      </c>
      <c r="H317" s="1">
        <v>949</v>
      </c>
      <c r="I317" s="1"/>
      <c r="J317" s="1"/>
      <c r="K317" s="1" t="s">
        <v>726</v>
      </c>
    </row>
    <row r="318" spans="1:11" x14ac:dyDescent="0.25">
      <c r="A318" s="6">
        <v>46292</v>
      </c>
      <c r="B318" s="45">
        <v>0.46032407407407405</v>
      </c>
      <c r="C318" s="1" t="s">
        <v>458</v>
      </c>
      <c r="D318" s="1" t="s">
        <v>24</v>
      </c>
      <c r="E318" s="1" t="s">
        <v>105</v>
      </c>
      <c r="F318" s="1">
        <v>1</v>
      </c>
      <c r="G318" s="1">
        <v>24</v>
      </c>
      <c r="H318" s="1">
        <v>23</v>
      </c>
      <c r="I318" s="1"/>
      <c r="J318" s="1"/>
      <c r="K318" s="1" t="s">
        <v>727</v>
      </c>
    </row>
    <row r="319" spans="1:11" x14ac:dyDescent="0.25">
      <c r="A319" s="6">
        <v>46292</v>
      </c>
      <c r="B319" s="45">
        <v>0.46032407407407405</v>
      </c>
      <c r="C319" s="1" t="s">
        <v>458</v>
      </c>
      <c r="D319" s="1" t="s">
        <v>28</v>
      </c>
      <c r="E319" s="1" t="s">
        <v>107</v>
      </c>
      <c r="F319" s="1">
        <v>1</v>
      </c>
      <c r="G319" s="1">
        <v>21</v>
      </c>
      <c r="H319" s="1">
        <v>20</v>
      </c>
      <c r="I319" s="1"/>
      <c r="J319" s="1"/>
      <c r="K319" s="1" t="s">
        <v>727</v>
      </c>
    </row>
    <row r="320" spans="1:11" x14ac:dyDescent="0.25">
      <c r="A320" s="6">
        <v>46292</v>
      </c>
      <c r="B320" s="45">
        <v>0.46089120370370368</v>
      </c>
      <c r="C320" s="1" t="s">
        <v>458</v>
      </c>
      <c r="D320" s="1" t="s">
        <v>21</v>
      </c>
      <c r="E320" s="1" t="s">
        <v>5</v>
      </c>
      <c r="F320" s="1">
        <v>1</v>
      </c>
      <c r="G320" s="1">
        <v>949</v>
      </c>
      <c r="H320" s="1">
        <v>948</v>
      </c>
      <c r="I320" s="1"/>
      <c r="J320" s="1"/>
      <c r="K320" s="1" t="s">
        <v>728</v>
      </c>
    </row>
    <row r="321" spans="1:11" x14ac:dyDescent="0.25">
      <c r="A321" s="6">
        <v>46293</v>
      </c>
      <c r="B321" s="45">
        <v>0.90547453703703706</v>
      </c>
      <c r="C321" s="1" t="s">
        <v>458</v>
      </c>
      <c r="D321" s="1" t="s">
        <v>21</v>
      </c>
      <c r="E321" s="1" t="s">
        <v>5</v>
      </c>
      <c r="F321" s="1">
        <v>12</v>
      </c>
      <c r="G321" s="1">
        <v>948</v>
      </c>
      <c r="H321" s="1">
        <v>936</v>
      </c>
      <c r="I321" s="1"/>
      <c r="J321" s="1"/>
      <c r="K321" s="1" t="s">
        <v>753</v>
      </c>
    </row>
    <row r="322" spans="1:11" x14ac:dyDescent="0.25">
      <c r="A322" s="6">
        <v>46293</v>
      </c>
      <c r="B322" s="45">
        <v>0.90547453703703706</v>
      </c>
      <c r="C322" s="1" t="s">
        <v>458</v>
      </c>
      <c r="D322" s="1" t="s">
        <v>158</v>
      </c>
      <c r="E322" s="1" t="s">
        <v>159</v>
      </c>
      <c r="F322" s="1">
        <v>1</v>
      </c>
      <c r="G322" s="1">
        <v>4</v>
      </c>
      <c r="H322" s="1">
        <v>3</v>
      </c>
      <c r="I322" s="1"/>
      <c r="J322" s="1"/>
      <c r="K322" s="1" t="s">
        <v>753</v>
      </c>
    </row>
    <row r="323" spans="1:11" x14ac:dyDescent="0.25">
      <c r="A323" s="6">
        <v>46295</v>
      </c>
      <c r="B323" s="45">
        <v>0.70890046296296294</v>
      </c>
      <c r="C323" s="1" t="s">
        <v>300</v>
      </c>
      <c r="D323" s="1" t="s">
        <v>65</v>
      </c>
      <c r="E323" s="1" t="s">
        <v>16</v>
      </c>
      <c r="F323" s="1">
        <v>20</v>
      </c>
      <c r="G323" s="1">
        <v>60</v>
      </c>
      <c r="H323" s="1">
        <v>80</v>
      </c>
      <c r="I323" s="1"/>
      <c r="J323" s="1"/>
      <c r="K323" s="1"/>
    </row>
    <row r="324" spans="1:11" ht="30" x14ac:dyDescent="0.25">
      <c r="A324" s="6">
        <v>46295</v>
      </c>
      <c r="B324" s="45">
        <v>0.73434027777777777</v>
      </c>
      <c r="C324" s="1" t="s">
        <v>458</v>
      </c>
      <c r="D324" s="1" t="s">
        <v>112</v>
      </c>
      <c r="E324" s="1" t="s">
        <v>114</v>
      </c>
      <c r="F324" s="1">
        <v>1</v>
      </c>
      <c r="G324" s="1">
        <v>10</v>
      </c>
      <c r="H324" s="1">
        <v>9</v>
      </c>
      <c r="I324" s="1"/>
      <c r="J324" s="1"/>
      <c r="K324" s="1" t="s">
        <v>754</v>
      </c>
    </row>
    <row r="325" spans="1:11" x14ac:dyDescent="0.25">
      <c r="A325" s="6">
        <v>46295</v>
      </c>
      <c r="B325" s="45">
        <v>0.73434027777777777</v>
      </c>
      <c r="C325" s="1" t="s">
        <v>458</v>
      </c>
      <c r="D325" s="1" t="s">
        <v>22</v>
      </c>
      <c r="E325" s="1" t="s">
        <v>104</v>
      </c>
      <c r="F325" s="1">
        <v>1</v>
      </c>
      <c r="G325" s="1">
        <v>3</v>
      </c>
      <c r="H325" s="1">
        <v>2</v>
      </c>
      <c r="I325" s="1"/>
      <c r="J325" s="1"/>
      <c r="K325" s="1" t="s">
        <v>754</v>
      </c>
    </row>
    <row r="326" spans="1:11" x14ac:dyDescent="0.25">
      <c r="A326" s="6">
        <v>46295</v>
      </c>
      <c r="B326" s="45">
        <v>0.76901620370370372</v>
      </c>
      <c r="C326" s="1" t="s">
        <v>458</v>
      </c>
      <c r="D326" s="1" t="s">
        <v>158</v>
      </c>
      <c r="E326" s="1" t="s">
        <v>159</v>
      </c>
      <c r="F326" s="1">
        <v>3</v>
      </c>
      <c r="G326" s="1">
        <v>3</v>
      </c>
      <c r="H326" s="1">
        <v>0</v>
      </c>
      <c r="I326" s="1"/>
      <c r="J326" s="1"/>
      <c r="K326" s="1" t="s">
        <v>755</v>
      </c>
    </row>
    <row r="327" spans="1:11" x14ac:dyDescent="0.25">
      <c r="A327" s="6">
        <v>46295</v>
      </c>
      <c r="B327" s="45">
        <v>0.76901620370370372</v>
      </c>
      <c r="C327" s="1" t="s">
        <v>458</v>
      </c>
      <c r="D327" s="1" t="s">
        <v>28</v>
      </c>
      <c r="E327" s="1" t="s">
        <v>107</v>
      </c>
      <c r="F327" s="1">
        <v>2</v>
      </c>
      <c r="G327" s="1">
        <v>20</v>
      </c>
      <c r="H327" s="1">
        <v>18</v>
      </c>
      <c r="I327" s="1"/>
      <c r="J327" s="1"/>
      <c r="K327" s="1" t="s">
        <v>755</v>
      </c>
    </row>
    <row r="328" spans="1:11" x14ac:dyDescent="0.25">
      <c r="A328" s="6">
        <v>46295</v>
      </c>
      <c r="B328" s="45">
        <v>0.86924768518518514</v>
      </c>
      <c r="C328" s="1" t="s">
        <v>458</v>
      </c>
      <c r="D328" s="1" t="s">
        <v>182</v>
      </c>
      <c r="E328" s="1" t="s">
        <v>183</v>
      </c>
      <c r="F328" s="1">
        <v>1</v>
      </c>
      <c r="G328" s="1">
        <v>13</v>
      </c>
      <c r="H328" s="1">
        <v>12</v>
      </c>
      <c r="I328" s="1"/>
      <c r="J328" s="1"/>
      <c r="K328" s="1" t="s">
        <v>756</v>
      </c>
    </row>
    <row r="329" spans="1:11" x14ac:dyDescent="0.25">
      <c r="A329" s="6">
        <v>46295</v>
      </c>
      <c r="B329" s="45">
        <v>0.86924768518518514</v>
      </c>
      <c r="C329" s="1" t="s">
        <v>458</v>
      </c>
      <c r="D329" s="1" t="s">
        <v>10</v>
      </c>
      <c r="E329" s="1" t="s">
        <v>15</v>
      </c>
      <c r="F329" s="1">
        <v>1</v>
      </c>
      <c r="G329" s="1">
        <v>25</v>
      </c>
      <c r="H329" s="1">
        <v>24</v>
      </c>
      <c r="I329" s="1"/>
      <c r="J329" s="1"/>
      <c r="K329" s="1" t="s">
        <v>756</v>
      </c>
    </row>
    <row r="330" spans="1:11" x14ac:dyDescent="0.25">
      <c r="A330" s="6">
        <v>46295</v>
      </c>
      <c r="B330" s="45">
        <v>0.8840393518518519</v>
      </c>
      <c r="C330" s="1" t="s">
        <v>458</v>
      </c>
      <c r="D330" s="1" t="s">
        <v>65</v>
      </c>
      <c r="E330" s="1" t="s">
        <v>16</v>
      </c>
      <c r="F330" s="1">
        <v>1</v>
      </c>
      <c r="G330" s="1">
        <v>80</v>
      </c>
      <c r="H330" s="1">
        <v>79</v>
      </c>
      <c r="I330" s="1"/>
      <c r="J330" s="1"/>
      <c r="K330" s="1" t="s">
        <v>757</v>
      </c>
    </row>
    <row r="331" spans="1:11" x14ac:dyDescent="0.25">
      <c r="A331" s="6">
        <v>46295</v>
      </c>
      <c r="B331" s="45">
        <v>0.8923726851851852</v>
      </c>
      <c r="C331" s="1" t="s">
        <v>458</v>
      </c>
      <c r="D331" s="1" t="s">
        <v>65</v>
      </c>
      <c r="E331" s="1" t="s">
        <v>16</v>
      </c>
      <c r="F331" s="1">
        <v>1</v>
      </c>
      <c r="G331" s="1">
        <v>79</v>
      </c>
      <c r="H331" s="1">
        <v>78</v>
      </c>
      <c r="I331" s="1"/>
      <c r="J331" s="1"/>
      <c r="K331" s="1" t="s">
        <v>758</v>
      </c>
    </row>
    <row r="332" spans="1:11" x14ac:dyDescent="0.25">
      <c r="A332" s="6">
        <v>46295</v>
      </c>
      <c r="B332" s="45">
        <v>0.91831018518518515</v>
      </c>
      <c r="C332" s="1" t="s">
        <v>458</v>
      </c>
      <c r="D332" s="1" t="s">
        <v>28</v>
      </c>
      <c r="E332" s="1" t="s">
        <v>107</v>
      </c>
      <c r="F332" s="1">
        <v>1</v>
      </c>
      <c r="G332" s="1">
        <v>18</v>
      </c>
      <c r="H332" s="1">
        <v>17</v>
      </c>
      <c r="I332" s="1"/>
      <c r="J332" s="1"/>
      <c r="K332" s="1" t="s">
        <v>759</v>
      </c>
    </row>
    <row r="333" spans="1:11" x14ac:dyDescent="0.25">
      <c r="A333" s="6">
        <v>46295</v>
      </c>
      <c r="B333" s="45">
        <v>0.94299768518518523</v>
      </c>
      <c r="C333" s="1" t="s">
        <v>458</v>
      </c>
      <c r="D333" s="1" t="s">
        <v>182</v>
      </c>
      <c r="E333" s="1" t="s">
        <v>183</v>
      </c>
      <c r="F333" s="1">
        <v>2</v>
      </c>
      <c r="G333" s="1">
        <v>12</v>
      </c>
      <c r="H333" s="1">
        <v>10</v>
      </c>
      <c r="I333" s="1"/>
      <c r="J333" s="1"/>
      <c r="K333" s="1" t="s">
        <v>760</v>
      </c>
    </row>
    <row r="334" spans="1:11" x14ac:dyDescent="0.25">
      <c r="A334" s="6">
        <v>46295</v>
      </c>
      <c r="B334" s="45">
        <v>0.94299768518518523</v>
      </c>
      <c r="C334" s="1" t="s">
        <v>458</v>
      </c>
      <c r="D334" s="1" t="s">
        <v>302</v>
      </c>
      <c r="E334" s="1" t="s">
        <v>161</v>
      </c>
      <c r="F334" s="1">
        <v>3</v>
      </c>
      <c r="G334" s="1">
        <v>14</v>
      </c>
      <c r="H334" s="1">
        <v>11</v>
      </c>
      <c r="I334" s="1"/>
      <c r="J334" s="1"/>
      <c r="K334" s="1" t="s">
        <v>760</v>
      </c>
    </row>
    <row r="335" spans="1:11" x14ac:dyDescent="0.25">
      <c r="A335" s="6">
        <v>46295</v>
      </c>
      <c r="B335" s="45">
        <v>0.94994212962962965</v>
      </c>
      <c r="C335" s="1" t="s">
        <v>300</v>
      </c>
      <c r="D335" s="1" t="s">
        <v>158</v>
      </c>
      <c r="E335" s="1" t="s">
        <v>159</v>
      </c>
      <c r="F335" s="1">
        <v>20</v>
      </c>
      <c r="G335" s="1">
        <v>0</v>
      </c>
      <c r="H335" s="1">
        <v>20</v>
      </c>
      <c r="I335" s="1"/>
      <c r="J335" s="1"/>
      <c r="K335" s="1"/>
    </row>
    <row r="336" spans="1:11" ht="30" x14ac:dyDescent="0.25">
      <c r="A336" s="6">
        <v>46295</v>
      </c>
      <c r="B336" s="45">
        <v>0.95234953703703706</v>
      </c>
      <c r="C336" s="1" t="s">
        <v>458</v>
      </c>
      <c r="D336" s="1" t="s">
        <v>113</v>
      </c>
      <c r="E336" s="1" t="s">
        <v>171</v>
      </c>
      <c r="F336" s="1">
        <v>2</v>
      </c>
      <c r="G336" s="1">
        <v>11</v>
      </c>
      <c r="H336" s="1">
        <v>9</v>
      </c>
      <c r="I336" s="1"/>
      <c r="J336" s="1"/>
      <c r="K336" s="1" t="s">
        <v>761</v>
      </c>
    </row>
    <row r="337" spans="1:11" x14ac:dyDescent="0.25">
      <c r="A337" s="6">
        <v>46295</v>
      </c>
      <c r="B337" s="45">
        <v>0.95234953703703706</v>
      </c>
      <c r="C337" s="1" t="s">
        <v>458</v>
      </c>
      <c r="D337" s="1" t="s">
        <v>65</v>
      </c>
      <c r="E337" s="1" t="s">
        <v>16</v>
      </c>
      <c r="F337" s="1">
        <v>1</v>
      </c>
      <c r="G337" s="1">
        <v>78</v>
      </c>
      <c r="H337" s="1">
        <v>77</v>
      </c>
      <c r="I337" s="1"/>
      <c r="J337" s="1"/>
      <c r="K337" s="1" t="s">
        <v>761</v>
      </c>
    </row>
    <row r="338" spans="1:11" x14ac:dyDescent="0.25">
      <c r="A338" s="6">
        <v>46295</v>
      </c>
      <c r="B338" s="45">
        <v>0.95270833333333338</v>
      </c>
      <c r="C338" s="1" t="s">
        <v>458</v>
      </c>
      <c r="D338" s="1" t="s">
        <v>182</v>
      </c>
      <c r="E338" s="1" t="s">
        <v>183</v>
      </c>
      <c r="F338" s="1">
        <v>1</v>
      </c>
      <c r="G338" s="1">
        <v>10</v>
      </c>
      <c r="H338" s="1">
        <v>9</v>
      </c>
      <c r="I338" s="1"/>
      <c r="J338" s="1"/>
      <c r="K338" s="1" t="s">
        <v>762</v>
      </c>
    </row>
    <row r="339" spans="1:11" x14ac:dyDescent="0.25">
      <c r="A339" s="6">
        <v>46295</v>
      </c>
      <c r="B339" s="45">
        <v>0.96221064814814816</v>
      </c>
      <c r="C339" s="1" t="s">
        <v>458</v>
      </c>
      <c r="D339" s="1" t="s">
        <v>182</v>
      </c>
      <c r="E339" s="1" t="s">
        <v>183</v>
      </c>
      <c r="F339" s="1">
        <v>1</v>
      </c>
      <c r="G339" s="1">
        <v>9</v>
      </c>
      <c r="H339" s="1">
        <v>8</v>
      </c>
      <c r="I339" s="1"/>
      <c r="J339" s="1"/>
      <c r="K339" s="1" t="s">
        <v>763</v>
      </c>
    </row>
    <row r="340" spans="1:11" x14ac:dyDescent="0.25">
      <c r="A340" s="6">
        <v>46296</v>
      </c>
      <c r="B340" s="45">
        <v>1.5509259259259259E-2</v>
      </c>
      <c r="C340" s="1" t="s">
        <v>458</v>
      </c>
      <c r="D340" s="1" t="s">
        <v>182</v>
      </c>
      <c r="E340" s="1" t="s">
        <v>183</v>
      </c>
      <c r="F340" s="1">
        <v>1</v>
      </c>
      <c r="G340" s="1">
        <v>8</v>
      </c>
      <c r="H340" s="1">
        <v>7</v>
      </c>
      <c r="I340" s="1"/>
      <c r="J340" s="1"/>
      <c r="K340" s="1" t="s">
        <v>764</v>
      </c>
    </row>
    <row r="341" spans="1:11" x14ac:dyDescent="0.25">
      <c r="A341" s="6">
        <v>46296</v>
      </c>
      <c r="B341" s="45">
        <v>1.5891203703703703E-2</v>
      </c>
      <c r="C341" s="1" t="s">
        <v>458</v>
      </c>
      <c r="D341" s="1" t="s">
        <v>110</v>
      </c>
      <c r="E341" s="1" t="s">
        <v>115</v>
      </c>
      <c r="F341" s="1">
        <v>1</v>
      </c>
      <c r="G341" s="1">
        <v>4</v>
      </c>
      <c r="H341" s="1">
        <v>3</v>
      </c>
      <c r="I341" s="1"/>
      <c r="J341" s="1"/>
      <c r="K341" s="1" t="s">
        <v>765</v>
      </c>
    </row>
    <row r="342" spans="1:11" x14ac:dyDescent="0.25">
      <c r="A342" s="6">
        <v>46296</v>
      </c>
      <c r="B342" s="45">
        <v>1.5891203703703703E-2</v>
      </c>
      <c r="C342" s="1" t="s">
        <v>458</v>
      </c>
      <c r="D342" s="1" t="s">
        <v>158</v>
      </c>
      <c r="E342" s="1" t="s">
        <v>159</v>
      </c>
      <c r="F342" s="1">
        <v>2</v>
      </c>
      <c r="G342" s="1">
        <v>20</v>
      </c>
      <c r="H342" s="1">
        <v>18</v>
      </c>
      <c r="I342" s="1"/>
      <c r="J342" s="1"/>
      <c r="K342" s="1" t="s">
        <v>765</v>
      </c>
    </row>
    <row r="343" spans="1:11" x14ac:dyDescent="0.25">
      <c r="A343" s="6">
        <v>46296</v>
      </c>
      <c r="B343" s="45">
        <v>1.5891203703703703E-2</v>
      </c>
      <c r="C343" s="1" t="s">
        <v>458</v>
      </c>
      <c r="D343" s="1" t="s">
        <v>65</v>
      </c>
      <c r="E343" s="1" t="s">
        <v>16</v>
      </c>
      <c r="F343" s="1">
        <v>1</v>
      </c>
      <c r="G343" s="1">
        <v>77</v>
      </c>
      <c r="H343" s="1">
        <v>76</v>
      </c>
      <c r="I343" s="1"/>
      <c r="J343" s="1"/>
      <c r="K343" s="1" t="s">
        <v>765</v>
      </c>
    </row>
    <row r="344" spans="1:11" ht="30" x14ac:dyDescent="0.25">
      <c r="A344" s="6">
        <v>46296</v>
      </c>
      <c r="B344" s="45">
        <v>7.18287037037037E-2</v>
      </c>
      <c r="C344" s="1" t="s">
        <v>458</v>
      </c>
      <c r="D344" s="1" t="s">
        <v>27</v>
      </c>
      <c r="E344" s="1" t="s">
        <v>106</v>
      </c>
      <c r="F344" s="1">
        <v>2</v>
      </c>
      <c r="G344" s="1">
        <v>10</v>
      </c>
      <c r="H344" s="1">
        <v>8</v>
      </c>
      <c r="I344" s="1"/>
      <c r="J344" s="1"/>
      <c r="K344" s="1" t="s">
        <v>766</v>
      </c>
    </row>
    <row r="345" spans="1:11" x14ac:dyDescent="0.25">
      <c r="A345" s="6">
        <v>46296</v>
      </c>
      <c r="B345" s="45">
        <v>7.1979166666666664E-2</v>
      </c>
      <c r="C345" s="1" t="s">
        <v>458</v>
      </c>
      <c r="D345" s="1" t="s">
        <v>10</v>
      </c>
      <c r="E345" s="1" t="s">
        <v>15</v>
      </c>
      <c r="F345" s="1">
        <v>1</v>
      </c>
      <c r="G345" s="1">
        <v>24</v>
      </c>
      <c r="H345" s="1">
        <v>23</v>
      </c>
      <c r="I345" s="1"/>
      <c r="J345" s="1"/>
      <c r="K345" s="1" t="s">
        <v>767</v>
      </c>
    </row>
    <row r="346" spans="1:11" x14ac:dyDescent="0.25">
      <c r="A346" s="6">
        <v>46296</v>
      </c>
      <c r="B346" s="45">
        <v>7.1979166666666664E-2</v>
      </c>
      <c r="C346" s="1" t="s">
        <v>458</v>
      </c>
      <c r="D346" s="1" t="s">
        <v>182</v>
      </c>
      <c r="E346" s="1" t="s">
        <v>183</v>
      </c>
      <c r="F346" s="1">
        <v>1</v>
      </c>
      <c r="G346" s="1">
        <v>7</v>
      </c>
      <c r="H346" s="1">
        <v>6</v>
      </c>
      <c r="I346" s="1"/>
      <c r="J346" s="1"/>
      <c r="K346" s="1" t="s">
        <v>767</v>
      </c>
    </row>
    <row r="347" spans="1:11" x14ac:dyDescent="0.25">
      <c r="A347" s="6">
        <v>46296</v>
      </c>
      <c r="B347" s="45">
        <v>7.2083333333333333E-2</v>
      </c>
      <c r="C347" s="1" t="s">
        <v>458</v>
      </c>
      <c r="D347" s="1" t="s">
        <v>31</v>
      </c>
      <c r="E347" s="1" t="s">
        <v>109</v>
      </c>
      <c r="F347" s="1">
        <v>2</v>
      </c>
      <c r="G347" s="1">
        <v>7</v>
      </c>
      <c r="H347" s="1">
        <v>5</v>
      </c>
      <c r="I347" s="1"/>
      <c r="J347" s="1"/>
      <c r="K347" s="1" t="s">
        <v>768</v>
      </c>
    </row>
    <row r="348" spans="1:11" x14ac:dyDescent="0.25">
      <c r="A348" s="6">
        <v>46296</v>
      </c>
      <c r="B348" s="45">
        <v>0.66836805555555556</v>
      </c>
      <c r="C348" s="1" t="s">
        <v>458</v>
      </c>
      <c r="D348" s="1" t="s">
        <v>31</v>
      </c>
      <c r="E348" s="1" t="s">
        <v>109</v>
      </c>
      <c r="F348" s="1">
        <v>2</v>
      </c>
      <c r="G348" s="1">
        <v>5</v>
      </c>
      <c r="H348" s="1">
        <v>3</v>
      </c>
      <c r="I348" s="1"/>
      <c r="J348" s="1"/>
      <c r="K348" s="1" t="s">
        <v>769</v>
      </c>
    </row>
    <row r="349" spans="1:11" x14ac:dyDescent="0.25">
      <c r="A349" s="6">
        <v>46296</v>
      </c>
      <c r="B349" s="45">
        <v>0.66836805555555556</v>
      </c>
      <c r="C349" s="1" t="s">
        <v>458</v>
      </c>
      <c r="D349" s="1" t="s">
        <v>158</v>
      </c>
      <c r="E349" s="1" t="s">
        <v>159</v>
      </c>
      <c r="F349" s="1">
        <v>1</v>
      </c>
      <c r="G349" s="1">
        <v>18</v>
      </c>
      <c r="H349" s="1">
        <v>17</v>
      </c>
      <c r="I349" s="1"/>
      <c r="J349" s="1"/>
      <c r="K349" s="1" t="s">
        <v>769</v>
      </c>
    </row>
    <row r="350" spans="1:11" x14ac:dyDescent="0.25">
      <c r="A350" s="6">
        <v>46296</v>
      </c>
      <c r="B350" s="45">
        <v>0.79513888888888884</v>
      </c>
      <c r="C350" s="1" t="s">
        <v>458</v>
      </c>
      <c r="D350" s="1" t="s">
        <v>186</v>
      </c>
      <c r="E350" s="1" t="s">
        <v>187</v>
      </c>
      <c r="F350" s="1">
        <v>1</v>
      </c>
      <c r="G350" s="1">
        <v>16</v>
      </c>
      <c r="H350" s="1">
        <v>15</v>
      </c>
      <c r="I350" s="1"/>
      <c r="J350" s="1"/>
      <c r="K350" s="1" t="s">
        <v>770</v>
      </c>
    </row>
    <row r="351" spans="1:11" x14ac:dyDescent="0.25">
      <c r="A351" s="6">
        <v>46296</v>
      </c>
      <c r="B351" s="45">
        <v>0.80579861111111106</v>
      </c>
      <c r="C351" s="1" t="s">
        <v>300</v>
      </c>
      <c r="D351" s="1" t="s">
        <v>190</v>
      </c>
      <c r="E351" s="1" t="s">
        <v>184</v>
      </c>
      <c r="F351" s="1">
        <v>30</v>
      </c>
      <c r="G351" s="1">
        <v>11</v>
      </c>
      <c r="H351" s="1">
        <v>41</v>
      </c>
      <c r="I351" s="1"/>
      <c r="J351" s="1"/>
      <c r="K351" s="1"/>
    </row>
    <row r="352" spans="1:11" x14ac:dyDescent="0.25">
      <c r="A352" s="6">
        <v>46296</v>
      </c>
      <c r="B352" s="45">
        <v>0.80600694444444443</v>
      </c>
      <c r="C352" s="1" t="s">
        <v>300</v>
      </c>
      <c r="D352" s="1" t="s">
        <v>28</v>
      </c>
      <c r="E352" s="1" t="s">
        <v>107</v>
      </c>
      <c r="F352" s="1">
        <v>30</v>
      </c>
      <c r="G352" s="1">
        <v>17</v>
      </c>
      <c r="H352" s="1">
        <v>47</v>
      </c>
      <c r="I352" s="1"/>
      <c r="J352" s="1"/>
      <c r="K352" s="1"/>
    </row>
    <row r="353" spans="1:11" x14ac:dyDescent="0.25">
      <c r="A353" s="6">
        <v>46296</v>
      </c>
      <c r="B353" s="45">
        <v>0.80625000000000002</v>
      </c>
      <c r="C353" s="1" t="s">
        <v>300</v>
      </c>
      <c r="D353" s="1" t="s">
        <v>182</v>
      </c>
      <c r="E353" s="1" t="s">
        <v>183</v>
      </c>
      <c r="F353" s="1">
        <v>13</v>
      </c>
      <c r="G353" s="1">
        <v>6</v>
      </c>
      <c r="H353" s="1">
        <v>19</v>
      </c>
      <c r="I353" s="1"/>
      <c r="J353" s="1"/>
      <c r="K353" s="1"/>
    </row>
    <row r="354" spans="1:11" ht="30" x14ac:dyDescent="0.25">
      <c r="A354" s="6">
        <v>46296</v>
      </c>
      <c r="B354" s="45">
        <v>0.80645833333333339</v>
      </c>
      <c r="C354" s="1" t="s">
        <v>300</v>
      </c>
      <c r="D354" s="1" t="s">
        <v>27</v>
      </c>
      <c r="E354" s="1" t="s">
        <v>106</v>
      </c>
      <c r="F354" s="1">
        <v>15</v>
      </c>
      <c r="G354" s="1">
        <v>8</v>
      </c>
      <c r="H354" s="1">
        <v>23</v>
      </c>
      <c r="I354" s="1"/>
      <c r="J354" s="1"/>
      <c r="K354" s="1"/>
    </row>
    <row r="355" spans="1:11" x14ac:dyDescent="0.25">
      <c r="A355" s="6">
        <v>46296</v>
      </c>
      <c r="B355" s="45">
        <v>0.80658564814814815</v>
      </c>
      <c r="C355" s="1" t="s">
        <v>300</v>
      </c>
      <c r="D355" s="1" t="s">
        <v>22</v>
      </c>
      <c r="E355" s="1" t="s">
        <v>104</v>
      </c>
      <c r="F355" s="1">
        <v>15</v>
      </c>
      <c r="G355" s="1">
        <v>2</v>
      </c>
      <c r="H355" s="1">
        <v>17</v>
      </c>
      <c r="I355" s="1"/>
      <c r="J355" s="1"/>
      <c r="K355" s="1"/>
    </row>
    <row r="356" spans="1:11" x14ac:dyDescent="0.25">
      <c r="A356" s="6">
        <v>46296</v>
      </c>
      <c r="B356" s="45">
        <v>0.80686342592592597</v>
      </c>
      <c r="C356" s="1" t="s">
        <v>300</v>
      </c>
      <c r="D356" s="1" t="s">
        <v>302</v>
      </c>
      <c r="E356" s="1" t="s">
        <v>161</v>
      </c>
      <c r="F356" s="1">
        <v>20</v>
      </c>
      <c r="G356" s="1">
        <v>11</v>
      </c>
      <c r="H356" s="1">
        <v>31</v>
      </c>
      <c r="I356" s="1"/>
      <c r="J356" s="1"/>
      <c r="K356" s="1"/>
    </row>
    <row r="357" spans="1:11" x14ac:dyDescent="0.25">
      <c r="A357" s="6">
        <v>46296</v>
      </c>
      <c r="B357" s="45">
        <v>0.8729513888888889</v>
      </c>
      <c r="C357" s="1" t="s">
        <v>458</v>
      </c>
      <c r="D357" s="1" t="s">
        <v>23</v>
      </c>
      <c r="E357" s="1" t="s">
        <v>13</v>
      </c>
      <c r="F357" s="1">
        <v>1</v>
      </c>
      <c r="G357" s="1">
        <v>98</v>
      </c>
      <c r="H357" s="1">
        <v>97</v>
      </c>
      <c r="I357" s="1"/>
      <c r="J357" s="1"/>
      <c r="K357" s="1" t="s">
        <v>771</v>
      </c>
    </row>
    <row r="358" spans="1:11" x14ac:dyDescent="0.25">
      <c r="A358" s="6">
        <v>46296</v>
      </c>
      <c r="B358" s="45">
        <v>0.8729513888888889</v>
      </c>
      <c r="C358" s="1" t="s">
        <v>458</v>
      </c>
      <c r="D358" s="1" t="s">
        <v>28</v>
      </c>
      <c r="E358" s="1" t="s">
        <v>107</v>
      </c>
      <c r="F358" s="1">
        <v>1</v>
      </c>
      <c r="G358" s="1">
        <v>47</v>
      </c>
      <c r="H358" s="1">
        <v>46</v>
      </c>
      <c r="I358" s="1"/>
      <c r="J358" s="1"/>
      <c r="K358" s="1" t="s">
        <v>771</v>
      </c>
    </row>
    <row r="359" spans="1:11" x14ac:dyDescent="0.25">
      <c r="A359" s="6">
        <v>46296</v>
      </c>
      <c r="B359" s="45">
        <v>0.8729513888888889</v>
      </c>
      <c r="C359" s="1" t="s">
        <v>458</v>
      </c>
      <c r="D359" s="1" t="s">
        <v>65</v>
      </c>
      <c r="E359" s="1" t="s">
        <v>16</v>
      </c>
      <c r="F359" s="1">
        <v>2</v>
      </c>
      <c r="G359" s="1">
        <v>76</v>
      </c>
      <c r="H359" s="1">
        <v>74</v>
      </c>
      <c r="I359" s="1"/>
      <c r="J359" s="1"/>
      <c r="K359" s="1" t="s">
        <v>771</v>
      </c>
    </row>
    <row r="360" spans="1:11" x14ac:dyDescent="0.25">
      <c r="A360" s="6">
        <v>46296</v>
      </c>
      <c r="B360" s="45">
        <v>0.88618055555555553</v>
      </c>
      <c r="C360" s="1" t="s">
        <v>458</v>
      </c>
      <c r="D360" s="1" t="s">
        <v>65</v>
      </c>
      <c r="E360" s="1" t="s">
        <v>16</v>
      </c>
      <c r="F360" s="1">
        <v>2</v>
      </c>
      <c r="G360" s="1">
        <v>74</v>
      </c>
      <c r="H360" s="1">
        <v>72</v>
      </c>
      <c r="I360" s="1"/>
      <c r="J360" s="1"/>
      <c r="K360" s="1" t="s">
        <v>772</v>
      </c>
    </row>
    <row r="361" spans="1:11" x14ac:dyDescent="0.25">
      <c r="A361" s="6">
        <v>46296</v>
      </c>
      <c r="B361" s="45">
        <v>0.88618055555555553</v>
      </c>
      <c r="C361" s="1" t="s">
        <v>458</v>
      </c>
      <c r="D361" s="1" t="s">
        <v>110</v>
      </c>
      <c r="E361" s="1" t="s">
        <v>115</v>
      </c>
      <c r="F361" s="1">
        <v>2</v>
      </c>
      <c r="G361" s="1">
        <v>3</v>
      </c>
      <c r="H361" s="1">
        <v>1</v>
      </c>
      <c r="I361" s="1"/>
      <c r="J361" s="1"/>
      <c r="K361" s="1" t="s">
        <v>772</v>
      </c>
    </row>
    <row r="362" spans="1:11" x14ac:dyDescent="0.25">
      <c r="A362" s="6">
        <v>46296</v>
      </c>
      <c r="B362" s="45">
        <v>0.90396990740740746</v>
      </c>
      <c r="C362" s="1" t="s">
        <v>300</v>
      </c>
      <c r="D362" s="1" t="s">
        <v>110</v>
      </c>
      <c r="E362" s="1" t="s">
        <v>115</v>
      </c>
      <c r="F362" s="1">
        <v>30000</v>
      </c>
      <c r="G362" s="1">
        <v>1</v>
      </c>
      <c r="H362" s="1">
        <v>30001</v>
      </c>
      <c r="I362" s="1"/>
      <c r="J362" s="1"/>
      <c r="K362" s="1"/>
    </row>
    <row r="363" spans="1:11" x14ac:dyDescent="0.25">
      <c r="A363" s="6">
        <v>46296</v>
      </c>
      <c r="B363" s="45">
        <v>0.9395486111111111</v>
      </c>
      <c r="C363" s="1" t="s">
        <v>458</v>
      </c>
      <c r="D363" s="1" t="s">
        <v>110</v>
      </c>
      <c r="E363" s="1" t="s">
        <v>115</v>
      </c>
      <c r="F363" s="1">
        <v>3</v>
      </c>
      <c r="G363" s="1">
        <v>30001</v>
      </c>
      <c r="H363" s="1">
        <v>29998</v>
      </c>
      <c r="I363" s="1"/>
      <c r="J363" s="1"/>
      <c r="K363" s="1" t="s">
        <v>773</v>
      </c>
    </row>
    <row r="364" spans="1:11" x14ac:dyDescent="0.25">
      <c r="A364" s="6">
        <v>46296</v>
      </c>
      <c r="B364" s="45">
        <v>0.95535879629629628</v>
      </c>
      <c r="C364" s="1" t="s">
        <v>458</v>
      </c>
      <c r="D364" s="1" t="s">
        <v>65</v>
      </c>
      <c r="E364" s="1" t="s">
        <v>16</v>
      </c>
      <c r="F364" s="1">
        <v>1</v>
      </c>
      <c r="G364" s="1">
        <v>72</v>
      </c>
      <c r="H364" s="1">
        <v>71</v>
      </c>
      <c r="I364" s="1"/>
      <c r="J364" s="1"/>
      <c r="K364" s="1" t="s">
        <v>774</v>
      </c>
    </row>
    <row r="365" spans="1:11" x14ac:dyDescent="0.25">
      <c r="A365" s="6">
        <v>46297</v>
      </c>
      <c r="B365" s="45">
        <v>1.5381944444444445E-2</v>
      </c>
      <c r="C365" s="1" t="s">
        <v>458</v>
      </c>
      <c r="D365" s="1" t="s">
        <v>65</v>
      </c>
      <c r="E365" s="1" t="s">
        <v>16</v>
      </c>
      <c r="F365" s="1">
        <v>1</v>
      </c>
      <c r="G365" s="1">
        <v>71</v>
      </c>
      <c r="H365" s="1">
        <v>70</v>
      </c>
      <c r="I365" s="1"/>
      <c r="J365" s="1"/>
      <c r="K365" s="1" t="s">
        <v>775</v>
      </c>
    </row>
    <row r="366" spans="1:11" x14ac:dyDescent="0.25">
      <c r="A366" s="6">
        <v>46297</v>
      </c>
      <c r="B366" s="45">
        <v>1.653935185185185E-2</v>
      </c>
      <c r="C366" s="1" t="s">
        <v>458</v>
      </c>
      <c r="D366" s="1" t="s">
        <v>190</v>
      </c>
      <c r="E366" s="1" t="s">
        <v>184</v>
      </c>
      <c r="F366" s="1">
        <v>3</v>
      </c>
      <c r="G366" s="1">
        <v>41</v>
      </c>
      <c r="H366" s="1">
        <v>38</v>
      </c>
      <c r="I366" s="1"/>
      <c r="J366" s="1"/>
      <c r="K366" s="1" t="s">
        <v>776</v>
      </c>
    </row>
    <row r="367" spans="1:11" x14ac:dyDescent="0.25">
      <c r="A367" s="6">
        <v>46297</v>
      </c>
      <c r="B367" s="45">
        <v>1.653935185185185E-2</v>
      </c>
      <c r="C367" s="1" t="s">
        <v>458</v>
      </c>
      <c r="D367" s="1" t="s">
        <v>302</v>
      </c>
      <c r="E367" s="1" t="s">
        <v>161</v>
      </c>
      <c r="F367" s="1">
        <v>1</v>
      </c>
      <c r="G367" s="1">
        <v>31</v>
      </c>
      <c r="H367" s="1">
        <v>30</v>
      </c>
      <c r="I367" s="1"/>
      <c r="J367" s="1"/>
      <c r="K367" s="1" t="s">
        <v>776</v>
      </c>
    </row>
    <row r="368" spans="1:11" x14ac:dyDescent="0.25">
      <c r="A368" s="6">
        <v>46297</v>
      </c>
      <c r="B368" s="45">
        <v>1.653935185185185E-2</v>
      </c>
      <c r="C368" s="1" t="s">
        <v>458</v>
      </c>
      <c r="D368" s="1" t="s">
        <v>158</v>
      </c>
      <c r="E368" s="1" t="s">
        <v>159</v>
      </c>
      <c r="F368" s="1">
        <v>1</v>
      </c>
      <c r="G368" s="1">
        <v>17</v>
      </c>
      <c r="H368" s="1">
        <v>16</v>
      </c>
      <c r="I368" s="1"/>
      <c r="J368" s="1"/>
      <c r="K368" s="1" t="s">
        <v>776</v>
      </c>
    </row>
    <row r="369" spans="1:11" x14ac:dyDescent="0.25">
      <c r="A369" s="6">
        <v>46297</v>
      </c>
      <c r="B369" s="45">
        <v>1.6851851851851851E-2</v>
      </c>
      <c r="C369" s="1" t="s">
        <v>458</v>
      </c>
      <c r="D369" s="1" t="s">
        <v>25</v>
      </c>
      <c r="E369" s="1" t="s">
        <v>12</v>
      </c>
      <c r="F369" s="1">
        <v>1</v>
      </c>
      <c r="G369" s="1">
        <v>99</v>
      </c>
      <c r="H369" s="1">
        <v>98</v>
      </c>
      <c r="I369" s="1"/>
      <c r="J369" s="1"/>
      <c r="K369" s="1" t="s">
        <v>777</v>
      </c>
    </row>
    <row r="370" spans="1:11" x14ac:dyDescent="0.25">
      <c r="A370" s="6">
        <v>46297</v>
      </c>
      <c r="B370" s="45">
        <v>1.7534722222222222E-2</v>
      </c>
      <c r="C370" s="1" t="s">
        <v>458</v>
      </c>
      <c r="D370" s="1" t="s">
        <v>28</v>
      </c>
      <c r="E370" s="1" t="s">
        <v>107</v>
      </c>
      <c r="F370" s="1">
        <v>1</v>
      </c>
      <c r="G370" s="1">
        <v>46</v>
      </c>
      <c r="H370" s="1">
        <v>45</v>
      </c>
      <c r="I370" s="1"/>
      <c r="J370" s="1"/>
      <c r="K370" s="1" t="s">
        <v>778</v>
      </c>
    </row>
    <row r="371" spans="1:11" x14ac:dyDescent="0.25">
      <c r="A371" s="6">
        <v>46297</v>
      </c>
      <c r="B371" s="45">
        <v>1.787037037037037E-2</v>
      </c>
      <c r="C371" s="1" t="s">
        <v>458</v>
      </c>
      <c r="D371" s="1" t="s">
        <v>22</v>
      </c>
      <c r="E371" s="1" t="s">
        <v>104</v>
      </c>
      <c r="F371" s="1">
        <v>1</v>
      </c>
      <c r="G371" s="1">
        <v>17</v>
      </c>
      <c r="H371" s="1">
        <v>16</v>
      </c>
      <c r="I371" s="1"/>
      <c r="J371" s="1"/>
      <c r="K371" s="1" t="s">
        <v>779</v>
      </c>
    </row>
    <row r="372" spans="1:11" x14ac:dyDescent="0.25">
      <c r="A372" s="6">
        <v>46297</v>
      </c>
      <c r="B372" s="45">
        <v>1.787037037037037E-2</v>
      </c>
      <c r="C372" s="1" t="s">
        <v>458</v>
      </c>
      <c r="D372" s="1" t="s">
        <v>110</v>
      </c>
      <c r="E372" s="1" t="s">
        <v>115</v>
      </c>
      <c r="F372" s="1">
        <v>1</v>
      </c>
      <c r="G372" s="1">
        <v>29998</v>
      </c>
      <c r="H372" s="1">
        <v>29997</v>
      </c>
      <c r="I372" s="1"/>
      <c r="J372" s="1"/>
      <c r="K372" s="1" t="s">
        <v>779</v>
      </c>
    </row>
    <row r="373" spans="1:11" ht="30" x14ac:dyDescent="0.25">
      <c r="A373" s="6">
        <v>46297</v>
      </c>
      <c r="B373" s="45">
        <v>1.8287037037037036E-2</v>
      </c>
      <c r="C373" s="1" t="s">
        <v>458</v>
      </c>
      <c r="D373" s="1" t="s">
        <v>127</v>
      </c>
      <c r="E373" s="1" t="s">
        <v>128</v>
      </c>
      <c r="F373" s="1">
        <v>1</v>
      </c>
      <c r="G373" s="1">
        <v>11</v>
      </c>
      <c r="H373" s="1">
        <v>10</v>
      </c>
      <c r="I373" s="1"/>
      <c r="J373" s="1"/>
      <c r="K373" s="1" t="s">
        <v>780</v>
      </c>
    </row>
    <row r="374" spans="1:11" x14ac:dyDescent="0.25">
      <c r="A374" s="6">
        <v>46297</v>
      </c>
      <c r="B374" s="45">
        <v>1.8287037037037036E-2</v>
      </c>
      <c r="C374" s="1" t="s">
        <v>458</v>
      </c>
      <c r="D374" s="1" t="s">
        <v>65</v>
      </c>
      <c r="E374" s="1" t="s">
        <v>16</v>
      </c>
      <c r="F374" s="1">
        <v>2</v>
      </c>
      <c r="G374" s="1">
        <v>70</v>
      </c>
      <c r="H374" s="1">
        <v>68</v>
      </c>
      <c r="I374" s="1"/>
      <c r="J374" s="1"/>
      <c r="K374" s="1" t="s">
        <v>780</v>
      </c>
    </row>
    <row r="375" spans="1:11" ht="30" x14ac:dyDescent="0.25">
      <c r="A375" s="6">
        <v>46297</v>
      </c>
      <c r="B375" s="45">
        <v>1.8287037037037036E-2</v>
      </c>
      <c r="C375" s="1" t="s">
        <v>458</v>
      </c>
      <c r="D375" s="1" t="s">
        <v>27</v>
      </c>
      <c r="E375" s="1" t="s">
        <v>106</v>
      </c>
      <c r="F375" s="1">
        <v>1</v>
      </c>
      <c r="G375" s="1">
        <v>23</v>
      </c>
      <c r="H375" s="1">
        <v>22</v>
      </c>
      <c r="I375" s="1"/>
      <c r="J375" s="1"/>
      <c r="K375" s="1" t="s">
        <v>780</v>
      </c>
    </row>
    <row r="376" spans="1:11" x14ac:dyDescent="0.25">
      <c r="A376" s="6">
        <v>46297</v>
      </c>
      <c r="B376" s="45">
        <v>1.8287037037037036E-2</v>
      </c>
      <c r="C376" s="1" t="s">
        <v>458</v>
      </c>
      <c r="D376" s="1" t="s">
        <v>158</v>
      </c>
      <c r="E376" s="1" t="s">
        <v>159</v>
      </c>
      <c r="F376" s="1">
        <v>3</v>
      </c>
      <c r="G376" s="1">
        <v>16</v>
      </c>
      <c r="H376" s="1">
        <v>13</v>
      </c>
      <c r="I376" s="1"/>
      <c r="J376" s="1"/>
      <c r="K376" s="1" t="s">
        <v>780</v>
      </c>
    </row>
    <row r="377" spans="1:11" x14ac:dyDescent="0.25">
      <c r="A377" s="6">
        <v>46297</v>
      </c>
      <c r="B377" s="45">
        <v>0.62998842592592597</v>
      </c>
      <c r="C377" s="1" t="s">
        <v>300</v>
      </c>
      <c r="D377" s="1" t="s">
        <v>158</v>
      </c>
      <c r="E377" s="1" t="s">
        <v>159</v>
      </c>
      <c r="F377" s="1">
        <v>20</v>
      </c>
      <c r="G377" s="1">
        <v>13</v>
      </c>
      <c r="H377" s="1">
        <v>33</v>
      </c>
      <c r="I377" s="58">
        <v>800</v>
      </c>
      <c r="J377" s="58">
        <v>16000</v>
      </c>
      <c r="K377" s="1"/>
    </row>
    <row r="378" spans="1:11" x14ac:dyDescent="0.25">
      <c r="A378" s="6">
        <v>46297</v>
      </c>
      <c r="B378" s="45">
        <v>0.66228009259259257</v>
      </c>
      <c r="C378" s="1" t="s">
        <v>458</v>
      </c>
      <c r="D378" s="1" t="s">
        <v>21</v>
      </c>
      <c r="E378" s="1" t="s">
        <v>5</v>
      </c>
      <c r="F378" s="1">
        <v>1</v>
      </c>
      <c r="G378" s="1">
        <v>936</v>
      </c>
      <c r="H378" s="1">
        <v>935</v>
      </c>
      <c r="I378" s="58"/>
      <c r="J378" s="58"/>
      <c r="K378" s="1" t="s">
        <v>816</v>
      </c>
    </row>
    <row r="379" spans="1:11" x14ac:dyDescent="0.25">
      <c r="A379" s="6">
        <v>46297</v>
      </c>
      <c r="B379" s="45">
        <v>0.66228009259259257</v>
      </c>
      <c r="C379" s="1" t="s">
        <v>458</v>
      </c>
      <c r="D379" s="1" t="s">
        <v>186</v>
      </c>
      <c r="E379" s="1" t="s">
        <v>187</v>
      </c>
      <c r="F379" s="1">
        <v>1</v>
      </c>
      <c r="G379" s="1">
        <v>15</v>
      </c>
      <c r="H379" s="1">
        <v>14</v>
      </c>
      <c r="I379" s="58">
        <v>700</v>
      </c>
      <c r="J379" s="58">
        <v>700</v>
      </c>
      <c r="K379" s="1" t="s">
        <v>816</v>
      </c>
    </row>
    <row r="380" spans="1:11" x14ac:dyDescent="0.25">
      <c r="A380" s="6">
        <v>46297</v>
      </c>
      <c r="B380" s="45">
        <v>0.70177083333333334</v>
      </c>
      <c r="C380" s="1" t="s">
        <v>458</v>
      </c>
      <c r="D380" s="1" t="s">
        <v>25</v>
      </c>
      <c r="E380" s="1" t="s">
        <v>12</v>
      </c>
      <c r="F380" s="1">
        <v>1</v>
      </c>
      <c r="G380" s="1">
        <v>98</v>
      </c>
      <c r="H380" s="1">
        <v>97</v>
      </c>
      <c r="I380" s="58"/>
      <c r="J380" s="58"/>
      <c r="K380" s="1" t="s">
        <v>817</v>
      </c>
    </row>
    <row r="381" spans="1:11" x14ac:dyDescent="0.25">
      <c r="A381" s="6">
        <v>46297</v>
      </c>
      <c r="B381" s="45">
        <v>0.70177083333333334</v>
      </c>
      <c r="C381" s="1" t="s">
        <v>458</v>
      </c>
      <c r="D381" s="1" t="s">
        <v>801</v>
      </c>
      <c r="E381" s="1" t="s">
        <v>802</v>
      </c>
      <c r="F381" s="1">
        <v>2</v>
      </c>
      <c r="G381" s="1">
        <v>100</v>
      </c>
      <c r="H381" s="1">
        <v>98</v>
      </c>
      <c r="I381" s="58"/>
      <c r="J381" s="58"/>
      <c r="K381" s="1" t="s">
        <v>817</v>
      </c>
    </row>
    <row r="382" spans="1:11" x14ac:dyDescent="0.25">
      <c r="A382" s="6">
        <v>46297</v>
      </c>
      <c r="B382" s="45">
        <v>0.70177083333333334</v>
      </c>
      <c r="C382" s="1" t="s">
        <v>458</v>
      </c>
      <c r="D382" s="1" t="s">
        <v>21</v>
      </c>
      <c r="E382" s="1" t="s">
        <v>5</v>
      </c>
      <c r="F382" s="1">
        <v>3</v>
      </c>
      <c r="G382" s="1">
        <v>935</v>
      </c>
      <c r="H382" s="1">
        <v>932</v>
      </c>
      <c r="I382" s="58"/>
      <c r="J382" s="58"/>
      <c r="K382" s="1" t="s">
        <v>817</v>
      </c>
    </row>
    <row r="383" spans="1:11" x14ac:dyDescent="0.25">
      <c r="A383" s="6">
        <v>46297</v>
      </c>
      <c r="B383" s="45">
        <v>0.70584490740740746</v>
      </c>
      <c r="C383" s="1" t="s">
        <v>458</v>
      </c>
      <c r="D383" s="1" t="s">
        <v>110</v>
      </c>
      <c r="E383" s="1" t="s">
        <v>115</v>
      </c>
      <c r="F383" s="1">
        <v>1</v>
      </c>
      <c r="G383" s="1">
        <v>29997</v>
      </c>
      <c r="H383" s="1">
        <v>29996</v>
      </c>
      <c r="I383" s="58">
        <v>1000</v>
      </c>
      <c r="J383" s="58">
        <v>1000</v>
      </c>
      <c r="K383" s="1" t="s">
        <v>818</v>
      </c>
    </row>
    <row r="384" spans="1:11" x14ac:dyDescent="0.25">
      <c r="A384" s="6">
        <v>46297</v>
      </c>
      <c r="B384" s="45">
        <v>0.75550925925925927</v>
      </c>
      <c r="C384" s="1" t="s">
        <v>458</v>
      </c>
      <c r="D384" s="1" t="s">
        <v>21</v>
      </c>
      <c r="E384" s="1" t="s">
        <v>5</v>
      </c>
      <c r="F384" s="1">
        <v>2</v>
      </c>
      <c r="G384" s="1">
        <v>932</v>
      </c>
      <c r="H384" s="1">
        <v>930</v>
      </c>
      <c r="I384" s="58"/>
      <c r="J384" s="58"/>
      <c r="K384" s="1" t="s">
        <v>819</v>
      </c>
    </row>
    <row r="385" spans="1:11" x14ac:dyDescent="0.25">
      <c r="A385" s="6">
        <v>46297</v>
      </c>
      <c r="B385" s="45">
        <v>0.75550925925925927</v>
      </c>
      <c r="C385" s="1" t="s">
        <v>458</v>
      </c>
      <c r="D385" s="1" t="s">
        <v>22</v>
      </c>
      <c r="E385" s="1" t="s">
        <v>104</v>
      </c>
      <c r="F385" s="1">
        <v>1</v>
      </c>
      <c r="G385" s="1">
        <v>16</v>
      </c>
      <c r="H385" s="1">
        <v>15</v>
      </c>
      <c r="I385" s="58">
        <v>2967</v>
      </c>
      <c r="J385" s="58">
        <v>2967</v>
      </c>
      <c r="K385" s="1" t="s">
        <v>819</v>
      </c>
    </row>
    <row r="386" spans="1:11" x14ac:dyDescent="0.25">
      <c r="A386" s="6">
        <v>46297</v>
      </c>
      <c r="B386" s="45">
        <v>0.76569444444444446</v>
      </c>
      <c r="C386" s="1" t="s">
        <v>458</v>
      </c>
      <c r="D386" s="1" t="s">
        <v>21</v>
      </c>
      <c r="E386" s="1" t="s">
        <v>5</v>
      </c>
      <c r="F386" s="1">
        <v>2</v>
      </c>
      <c r="G386" s="1">
        <v>930</v>
      </c>
      <c r="H386" s="1">
        <v>928</v>
      </c>
      <c r="I386" s="58"/>
      <c r="J386" s="58"/>
      <c r="K386" s="1" t="s">
        <v>820</v>
      </c>
    </row>
    <row r="387" spans="1:11" x14ac:dyDescent="0.25">
      <c r="A387" s="6">
        <v>46297</v>
      </c>
      <c r="B387" s="45">
        <v>0.76569444444444446</v>
      </c>
      <c r="C387" s="1" t="s">
        <v>458</v>
      </c>
      <c r="D387" s="1" t="s">
        <v>24</v>
      </c>
      <c r="E387" s="1" t="s">
        <v>105</v>
      </c>
      <c r="F387" s="1">
        <v>3</v>
      </c>
      <c r="G387" s="1">
        <v>23</v>
      </c>
      <c r="H387" s="1">
        <v>20</v>
      </c>
      <c r="I387" s="58">
        <v>2967</v>
      </c>
      <c r="J387" s="58">
        <v>8901</v>
      </c>
      <c r="K387" s="1" t="s">
        <v>820</v>
      </c>
    </row>
    <row r="388" spans="1:11" x14ac:dyDescent="0.25">
      <c r="A388" s="6">
        <v>46297</v>
      </c>
      <c r="B388" s="45">
        <v>0.76569444444444446</v>
      </c>
      <c r="C388" s="1" t="s">
        <v>458</v>
      </c>
      <c r="D388" s="1" t="s">
        <v>28</v>
      </c>
      <c r="E388" s="1" t="s">
        <v>107</v>
      </c>
      <c r="F388" s="1">
        <v>1</v>
      </c>
      <c r="G388" s="1">
        <v>45</v>
      </c>
      <c r="H388" s="1">
        <v>44</v>
      </c>
      <c r="I388" s="58">
        <v>2290</v>
      </c>
      <c r="J388" s="58">
        <v>2290</v>
      </c>
      <c r="K388" s="1" t="s">
        <v>820</v>
      </c>
    </row>
    <row r="389" spans="1:11" x14ac:dyDescent="0.25">
      <c r="A389" s="6">
        <v>46297</v>
      </c>
      <c r="B389" s="45">
        <v>0.76569444444444446</v>
      </c>
      <c r="C389" s="1" t="s">
        <v>458</v>
      </c>
      <c r="D389" s="1" t="s">
        <v>22</v>
      </c>
      <c r="E389" s="1" t="s">
        <v>104</v>
      </c>
      <c r="F389" s="1">
        <v>1</v>
      </c>
      <c r="G389" s="1">
        <v>15</v>
      </c>
      <c r="H389" s="1">
        <v>14</v>
      </c>
      <c r="I389" s="58">
        <v>2967</v>
      </c>
      <c r="J389" s="58">
        <v>2967</v>
      </c>
      <c r="K389" s="1" t="s">
        <v>820</v>
      </c>
    </row>
    <row r="390" spans="1:11" x14ac:dyDescent="0.25">
      <c r="A390" s="6">
        <v>46297</v>
      </c>
      <c r="B390" s="45">
        <v>0.85311342592592587</v>
      </c>
      <c r="C390" s="1" t="s">
        <v>458</v>
      </c>
      <c r="D390" s="1" t="s">
        <v>21</v>
      </c>
      <c r="E390" s="1" t="s">
        <v>5</v>
      </c>
      <c r="F390" s="1">
        <v>1</v>
      </c>
      <c r="G390" s="1">
        <v>928</v>
      </c>
      <c r="H390" s="1">
        <v>927</v>
      </c>
      <c r="I390" s="58"/>
      <c r="J390" s="58"/>
      <c r="K390" s="1" t="s">
        <v>821</v>
      </c>
    </row>
    <row r="391" spans="1:11" x14ac:dyDescent="0.25">
      <c r="A391" s="6">
        <v>46297</v>
      </c>
      <c r="B391" s="45">
        <v>0.85311342592592587</v>
      </c>
      <c r="C391" s="1" t="s">
        <v>458</v>
      </c>
      <c r="D391" s="1" t="s">
        <v>65</v>
      </c>
      <c r="E391" s="1" t="s">
        <v>16</v>
      </c>
      <c r="F391" s="1">
        <v>2</v>
      </c>
      <c r="G391" s="1">
        <v>68</v>
      </c>
      <c r="H391" s="1">
        <v>66</v>
      </c>
      <c r="I391" s="58">
        <v>4030</v>
      </c>
      <c r="J391" s="58">
        <v>8060</v>
      </c>
      <c r="K391" s="1" t="s">
        <v>821</v>
      </c>
    </row>
    <row r="392" spans="1:11" x14ac:dyDescent="0.25">
      <c r="A392" s="6">
        <v>46297</v>
      </c>
      <c r="B392" s="45">
        <v>0.85315972222222225</v>
      </c>
      <c r="C392" s="1" t="s">
        <v>458</v>
      </c>
      <c r="D392" s="1" t="s">
        <v>21</v>
      </c>
      <c r="E392" s="1" t="s">
        <v>5</v>
      </c>
      <c r="F392" s="1">
        <v>1</v>
      </c>
      <c r="G392" s="1">
        <v>927</v>
      </c>
      <c r="H392" s="1">
        <v>926</v>
      </c>
      <c r="I392" s="58"/>
      <c r="J392" s="58"/>
      <c r="K392" s="1" t="s">
        <v>822</v>
      </c>
    </row>
    <row r="393" spans="1:11" ht="30" x14ac:dyDescent="0.25">
      <c r="A393" s="6">
        <v>46297</v>
      </c>
      <c r="B393" s="45">
        <v>0.85315972222222225</v>
      </c>
      <c r="C393" s="1" t="s">
        <v>458</v>
      </c>
      <c r="D393" s="1" t="s">
        <v>131</v>
      </c>
      <c r="E393" s="1" t="s">
        <v>133</v>
      </c>
      <c r="F393" s="1">
        <v>1</v>
      </c>
      <c r="G393" s="1">
        <v>95</v>
      </c>
      <c r="H393" s="1">
        <v>94</v>
      </c>
      <c r="I393" s="58"/>
      <c r="J393" s="58"/>
      <c r="K393" s="1" t="s">
        <v>822</v>
      </c>
    </row>
    <row r="394" spans="1:11" x14ac:dyDescent="0.25">
      <c r="A394" s="6">
        <v>46297</v>
      </c>
      <c r="B394" s="45">
        <v>0.85315972222222225</v>
      </c>
      <c r="C394" s="1" t="s">
        <v>458</v>
      </c>
      <c r="D394" s="1" t="s">
        <v>10</v>
      </c>
      <c r="E394" s="1" t="s">
        <v>15</v>
      </c>
      <c r="F394" s="1">
        <v>1</v>
      </c>
      <c r="G394" s="1">
        <v>23</v>
      </c>
      <c r="H394" s="1">
        <v>22</v>
      </c>
      <c r="I394" s="58"/>
      <c r="J394" s="58"/>
      <c r="K394" s="1" t="s">
        <v>822</v>
      </c>
    </row>
    <row r="395" spans="1:11" x14ac:dyDescent="0.25">
      <c r="A395" s="6">
        <v>46297</v>
      </c>
      <c r="B395" s="45">
        <v>0.87460648148148146</v>
      </c>
      <c r="C395" s="1" t="s">
        <v>458</v>
      </c>
      <c r="D395" s="1" t="s">
        <v>28</v>
      </c>
      <c r="E395" s="1" t="s">
        <v>107</v>
      </c>
      <c r="F395" s="1">
        <v>2</v>
      </c>
      <c r="G395" s="1">
        <v>44</v>
      </c>
      <c r="H395" s="1">
        <v>42</v>
      </c>
      <c r="I395" s="58">
        <v>2290</v>
      </c>
      <c r="J395" s="58">
        <v>4580</v>
      </c>
      <c r="K395" s="1" t="s">
        <v>823</v>
      </c>
    </row>
    <row r="396" spans="1:11" x14ac:dyDescent="0.25">
      <c r="A396" s="6">
        <v>46297</v>
      </c>
      <c r="B396" s="45">
        <v>0.87460648148148146</v>
      </c>
      <c r="C396" s="1" t="s">
        <v>458</v>
      </c>
      <c r="D396" s="1" t="s">
        <v>10</v>
      </c>
      <c r="E396" s="1" t="s">
        <v>15</v>
      </c>
      <c r="F396" s="1">
        <v>1</v>
      </c>
      <c r="G396" s="1">
        <v>22</v>
      </c>
      <c r="H396" s="1">
        <v>21</v>
      </c>
      <c r="I396" s="58"/>
      <c r="J396" s="58"/>
      <c r="K396" s="1" t="s">
        <v>823</v>
      </c>
    </row>
    <row r="397" spans="1:11" ht="30" x14ac:dyDescent="0.25">
      <c r="A397" s="6">
        <v>46297</v>
      </c>
      <c r="B397" s="45">
        <v>0.87460648148148146</v>
      </c>
      <c r="C397" s="1" t="s">
        <v>458</v>
      </c>
      <c r="D397" s="1" t="s">
        <v>131</v>
      </c>
      <c r="E397" s="1" t="s">
        <v>133</v>
      </c>
      <c r="F397" s="1">
        <v>1</v>
      </c>
      <c r="G397" s="1">
        <v>94</v>
      </c>
      <c r="H397" s="1">
        <v>93</v>
      </c>
      <c r="I397" s="58"/>
      <c r="J397" s="58"/>
      <c r="K397" s="1" t="s">
        <v>823</v>
      </c>
    </row>
    <row r="398" spans="1:11" x14ac:dyDescent="0.25">
      <c r="A398" s="6">
        <v>46297</v>
      </c>
      <c r="B398" s="45">
        <v>0.87930555555555556</v>
      </c>
      <c r="C398" s="1" t="s">
        <v>458</v>
      </c>
      <c r="D398" s="1" t="s">
        <v>24</v>
      </c>
      <c r="E398" s="1" t="s">
        <v>105</v>
      </c>
      <c r="F398" s="1">
        <v>4</v>
      </c>
      <c r="G398" s="1">
        <v>20</v>
      </c>
      <c r="H398" s="1">
        <v>16</v>
      </c>
      <c r="I398" s="58">
        <v>2967</v>
      </c>
      <c r="J398" s="58">
        <v>11868</v>
      </c>
      <c r="K398" s="1" t="s">
        <v>824</v>
      </c>
    </row>
    <row r="399" spans="1:11" x14ac:dyDescent="0.25">
      <c r="A399" s="6">
        <v>46297</v>
      </c>
      <c r="B399" s="45">
        <v>0.88325231481481481</v>
      </c>
      <c r="C399" s="1" t="s">
        <v>458</v>
      </c>
      <c r="D399" s="1" t="s">
        <v>21</v>
      </c>
      <c r="E399" s="1" t="s">
        <v>5</v>
      </c>
      <c r="F399" s="1">
        <v>3</v>
      </c>
      <c r="G399" s="1">
        <v>926</v>
      </c>
      <c r="H399" s="1">
        <v>923</v>
      </c>
      <c r="I399" s="58"/>
      <c r="J399" s="58"/>
      <c r="K399" s="1" t="s">
        <v>825</v>
      </c>
    </row>
    <row r="400" spans="1:11" x14ac:dyDescent="0.25">
      <c r="A400" s="6">
        <v>46297</v>
      </c>
      <c r="B400" s="45">
        <v>0.88325231481481481</v>
      </c>
      <c r="C400" s="1" t="s">
        <v>458</v>
      </c>
      <c r="D400" s="1" t="s">
        <v>22</v>
      </c>
      <c r="E400" s="1" t="s">
        <v>104</v>
      </c>
      <c r="F400" s="1">
        <v>1</v>
      </c>
      <c r="G400" s="1">
        <v>14</v>
      </c>
      <c r="H400" s="1">
        <v>13</v>
      </c>
      <c r="I400" s="58">
        <v>2967</v>
      </c>
      <c r="J400" s="58">
        <v>2967</v>
      </c>
      <c r="K400" s="1" t="s">
        <v>825</v>
      </c>
    </row>
    <row r="401" spans="1:11" x14ac:dyDescent="0.25">
      <c r="A401" s="6">
        <v>46297</v>
      </c>
      <c r="B401" s="45">
        <v>0.88325231481481481</v>
      </c>
      <c r="C401" s="1" t="s">
        <v>458</v>
      </c>
      <c r="D401" s="1" t="s">
        <v>28</v>
      </c>
      <c r="E401" s="1" t="s">
        <v>107</v>
      </c>
      <c r="F401" s="1">
        <v>4</v>
      </c>
      <c r="G401" s="1">
        <v>42</v>
      </c>
      <c r="H401" s="1">
        <v>38</v>
      </c>
      <c r="I401" s="58">
        <v>2290</v>
      </c>
      <c r="J401" s="58">
        <v>9160</v>
      </c>
      <c r="K401" s="1" t="s">
        <v>825</v>
      </c>
    </row>
    <row r="402" spans="1:11" x14ac:dyDescent="0.25">
      <c r="A402" s="6">
        <v>46297</v>
      </c>
      <c r="B402" s="45">
        <v>0.88325231481481481</v>
      </c>
      <c r="C402" s="1" t="s">
        <v>458</v>
      </c>
      <c r="D402" s="1" t="s">
        <v>24</v>
      </c>
      <c r="E402" s="1" t="s">
        <v>105</v>
      </c>
      <c r="F402" s="1">
        <v>2</v>
      </c>
      <c r="G402" s="1">
        <v>16</v>
      </c>
      <c r="H402" s="1">
        <v>14</v>
      </c>
      <c r="I402" s="58">
        <v>2967</v>
      </c>
      <c r="J402" s="58">
        <v>5934</v>
      </c>
      <c r="K402" s="1" t="s">
        <v>825</v>
      </c>
    </row>
    <row r="403" spans="1:11" x14ac:dyDescent="0.25">
      <c r="A403" s="6">
        <v>46297</v>
      </c>
      <c r="B403" s="45">
        <v>0.89547453703703705</v>
      </c>
      <c r="C403" s="1" t="s">
        <v>458</v>
      </c>
      <c r="D403" s="1" t="s">
        <v>10</v>
      </c>
      <c r="E403" s="1" t="s">
        <v>15</v>
      </c>
      <c r="F403" s="1">
        <v>3</v>
      </c>
      <c r="G403" s="1">
        <v>21</v>
      </c>
      <c r="H403" s="1">
        <v>18</v>
      </c>
      <c r="I403" s="58"/>
      <c r="J403" s="58"/>
      <c r="K403" s="1" t="s">
        <v>826</v>
      </c>
    </row>
    <row r="404" spans="1:11" x14ac:dyDescent="0.25">
      <c r="A404" s="6">
        <v>46297</v>
      </c>
      <c r="B404" s="45">
        <v>0.89547453703703705</v>
      </c>
      <c r="C404" s="1" t="s">
        <v>458</v>
      </c>
      <c r="D404" s="1" t="s">
        <v>23</v>
      </c>
      <c r="E404" s="1" t="s">
        <v>13</v>
      </c>
      <c r="F404" s="1">
        <v>1</v>
      </c>
      <c r="G404" s="1">
        <v>97</v>
      </c>
      <c r="H404" s="1">
        <v>96</v>
      </c>
      <c r="I404" s="58"/>
      <c r="J404" s="58"/>
      <c r="K404" s="1" t="s">
        <v>826</v>
      </c>
    </row>
    <row r="405" spans="1:11" x14ac:dyDescent="0.25">
      <c r="A405" s="6">
        <v>46297</v>
      </c>
      <c r="B405" s="45">
        <v>0.89547453703703705</v>
      </c>
      <c r="C405" s="1" t="s">
        <v>458</v>
      </c>
      <c r="D405" s="1" t="s">
        <v>25</v>
      </c>
      <c r="E405" s="1" t="s">
        <v>12</v>
      </c>
      <c r="F405" s="1">
        <v>1</v>
      </c>
      <c r="G405" s="1">
        <v>97</v>
      </c>
      <c r="H405" s="1">
        <v>96</v>
      </c>
      <c r="I405" s="58"/>
      <c r="J405" s="58"/>
      <c r="K405" s="1" t="s">
        <v>826</v>
      </c>
    </row>
    <row r="406" spans="1:11" x14ac:dyDescent="0.25">
      <c r="A406" s="6">
        <v>46297</v>
      </c>
      <c r="B406" s="45">
        <v>0.89908564814814818</v>
      </c>
      <c r="C406" s="1" t="s">
        <v>458</v>
      </c>
      <c r="D406" s="1" t="s">
        <v>130</v>
      </c>
      <c r="E406" s="1" t="s">
        <v>132</v>
      </c>
      <c r="F406" s="1">
        <v>2</v>
      </c>
      <c r="G406" s="1">
        <v>87</v>
      </c>
      <c r="H406" s="1">
        <v>85</v>
      </c>
      <c r="I406" s="58"/>
      <c r="J406" s="58"/>
      <c r="K406" s="1" t="s">
        <v>827</v>
      </c>
    </row>
    <row r="407" spans="1:11" x14ac:dyDescent="0.25">
      <c r="A407" s="6">
        <v>46297</v>
      </c>
      <c r="B407" s="45">
        <v>0.89908564814814818</v>
      </c>
      <c r="C407" s="1" t="s">
        <v>458</v>
      </c>
      <c r="D407" s="1" t="s">
        <v>302</v>
      </c>
      <c r="E407" s="1" t="s">
        <v>161</v>
      </c>
      <c r="F407" s="1">
        <v>1</v>
      </c>
      <c r="G407" s="1">
        <v>30</v>
      </c>
      <c r="H407" s="1">
        <v>29</v>
      </c>
      <c r="I407" s="58">
        <v>660</v>
      </c>
      <c r="J407" s="58">
        <v>660</v>
      </c>
      <c r="K407" s="1" t="s">
        <v>827</v>
      </c>
    </row>
    <row r="408" spans="1:11" x14ac:dyDescent="0.25">
      <c r="A408" s="6">
        <v>46297</v>
      </c>
      <c r="B408" s="45">
        <v>0.89908564814814818</v>
      </c>
      <c r="C408" s="1" t="s">
        <v>458</v>
      </c>
      <c r="D408" s="1" t="s">
        <v>10</v>
      </c>
      <c r="E408" s="1" t="s">
        <v>15</v>
      </c>
      <c r="F408" s="1">
        <v>2</v>
      </c>
      <c r="G408" s="1">
        <v>18</v>
      </c>
      <c r="H408" s="1">
        <v>16</v>
      </c>
      <c r="I408" s="58"/>
      <c r="J408" s="58"/>
      <c r="K408" s="1" t="s">
        <v>827</v>
      </c>
    </row>
    <row r="409" spans="1:11" x14ac:dyDescent="0.25">
      <c r="A409" s="6">
        <v>46297</v>
      </c>
      <c r="B409" s="45">
        <v>0.89908564814814818</v>
      </c>
      <c r="C409" s="1" t="s">
        <v>458</v>
      </c>
      <c r="D409" s="1" t="s">
        <v>158</v>
      </c>
      <c r="E409" s="1" t="s">
        <v>159</v>
      </c>
      <c r="F409" s="1">
        <v>2</v>
      </c>
      <c r="G409" s="1">
        <v>33</v>
      </c>
      <c r="H409" s="1">
        <v>31</v>
      </c>
      <c r="I409" s="58">
        <v>800</v>
      </c>
      <c r="J409" s="58">
        <v>1600</v>
      </c>
      <c r="K409" s="1" t="s">
        <v>827</v>
      </c>
    </row>
    <row r="410" spans="1:11" x14ac:dyDescent="0.25">
      <c r="A410" s="6">
        <v>46297</v>
      </c>
      <c r="B410" s="45">
        <v>0.9196064814814815</v>
      </c>
      <c r="C410" s="1" t="s">
        <v>458</v>
      </c>
      <c r="D410" s="1" t="s">
        <v>65</v>
      </c>
      <c r="E410" s="1" t="s">
        <v>16</v>
      </c>
      <c r="F410" s="1">
        <v>1</v>
      </c>
      <c r="G410" s="1">
        <v>66</v>
      </c>
      <c r="H410" s="1">
        <v>65</v>
      </c>
      <c r="I410" s="58">
        <v>4030</v>
      </c>
      <c r="J410" s="58">
        <v>4030</v>
      </c>
      <c r="K410" s="1" t="s">
        <v>828</v>
      </c>
    </row>
    <row r="411" spans="1:11" x14ac:dyDescent="0.25">
      <c r="A411" s="6">
        <v>46297</v>
      </c>
      <c r="B411" s="45">
        <v>0.93285879629629631</v>
      </c>
      <c r="C411" s="1" t="s">
        <v>458</v>
      </c>
      <c r="D411" s="1" t="s">
        <v>65</v>
      </c>
      <c r="E411" s="1" t="s">
        <v>16</v>
      </c>
      <c r="F411" s="1">
        <v>1</v>
      </c>
      <c r="G411" s="1">
        <v>65</v>
      </c>
      <c r="H411" s="1">
        <v>64</v>
      </c>
      <c r="I411" s="58">
        <v>4030</v>
      </c>
      <c r="J411" s="58">
        <v>4030</v>
      </c>
      <c r="K411" s="1" t="s">
        <v>829</v>
      </c>
    </row>
    <row r="412" spans="1:11" x14ac:dyDescent="0.25">
      <c r="A412" s="6">
        <v>46297</v>
      </c>
      <c r="B412" s="45">
        <v>0.93285879629629631</v>
      </c>
      <c r="C412" s="1" t="s">
        <v>458</v>
      </c>
      <c r="D412" s="1" t="s">
        <v>110</v>
      </c>
      <c r="E412" s="1" t="s">
        <v>115</v>
      </c>
      <c r="F412" s="1">
        <v>1</v>
      </c>
      <c r="G412" s="1">
        <v>29996</v>
      </c>
      <c r="H412" s="1">
        <v>29995</v>
      </c>
      <c r="I412" s="58">
        <v>1000</v>
      </c>
      <c r="J412" s="58">
        <v>1000</v>
      </c>
      <c r="K412" s="1" t="s">
        <v>829</v>
      </c>
    </row>
    <row r="413" spans="1:11" ht="30" x14ac:dyDescent="0.25">
      <c r="A413" s="6">
        <v>46297</v>
      </c>
      <c r="B413" s="45">
        <v>0.93640046296296298</v>
      </c>
      <c r="C413" s="1" t="s">
        <v>458</v>
      </c>
      <c r="D413" s="1" t="s">
        <v>27</v>
      </c>
      <c r="E413" s="1" t="s">
        <v>106</v>
      </c>
      <c r="F413" s="1">
        <v>1</v>
      </c>
      <c r="G413" s="1">
        <v>22</v>
      </c>
      <c r="H413" s="1">
        <v>21</v>
      </c>
      <c r="I413" s="58">
        <v>2967</v>
      </c>
      <c r="J413" s="58">
        <v>2967</v>
      </c>
      <c r="K413" s="1" t="s">
        <v>830</v>
      </c>
    </row>
    <row r="414" spans="1:11" x14ac:dyDescent="0.25">
      <c r="A414" s="6">
        <v>46297</v>
      </c>
      <c r="B414" s="45">
        <v>0.93648148148148147</v>
      </c>
      <c r="C414" s="1" t="s">
        <v>458</v>
      </c>
      <c r="D414" s="1" t="s">
        <v>190</v>
      </c>
      <c r="E414" s="1" t="s">
        <v>184</v>
      </c>
      <c r="F414" s="1">
        <v>1</v>
      </c>
      <c r="G414" s="1">
        <v>38</v>
      </c>
      <c r="H414" s="1">
        <v>37</v>
      </c>
      <c r="I414" s="58">
        <v>2450</v>
      </c>
      <c r="J414" s="58">
        <v>2450</v>
      </c>
      <c r="K414" s="1" t="s">
        <v>831</v>
      </c>
    </row>
    <row r="415" spans="1:11" ht="30" x14ac:dyDescent="0.25">
      <c r="A415" s="6">
        <v>46297</v>
      </c>
      <c r="B415" s="45">
        <v>0.93659722222222219</v>
      </c>
      <c r="C415" s="1" t="s">
        <v>458</v>
      </c>
      <c r="D415" s="1" t="s">
        <v>127</v>
      </c>
      <c r="E415" s="1" t="s">
        <v>128</v>
      </c>
      <c r="F415" s="1">
        <v>1</v>
      </c>
      <c r="G415" s="1">
        <v>10</v>
      </c>
      <c r="H415" s="1">
        <v>9</v>
      </c>
      <c r="I415" s="58"/>
      <c r="J415" s="58"/>
      <c r="K415" s="1" t="s">
        <v>832</v>
      </c>
    </row>
    <row r="416" spans="1:11" x14ac:dyDescent="0.25">
      <c r="A416" s="6">
        <v>46297</v>
      </c>
      <c r="B416" s="45">
        <v>0.93670138888888888</v>
      </c>
      <c r="C416" s="1" t="s">
        <v>458</v>
      </c>
      <c r="D416" s="1" t="s">
        <v>31</v>
      </c>
      <c r="E416" s="1" t="s">
        <v>109</v>
      </c>
      <c r="F416" s="1">
        <v>1</v>
      </c>
      <c r="G416" s="1">
        <v>3</v>
      </c>
      <c r="H416" s="1">
        <v>2</v>
      </c>
      <c r="I416" s="58">
        <v>2354</v>
      </c>
      <c r="J416" s="58">
        <v>2354</v>
      </c>
      <c r="K416" s="1" t="s">
        <v>833</v>
      </c>
    </row>
    <row r="417" spans="1:11" x14ac:dyDescent="0.25">
      <c r="A417" s="6">
        <v>46297</v>
      </c>
      <c r="B417" s="45">
        <v>0.93714120370370368</v>
      </c>
      <c r="C417" s="1" t="s">
        <v>458</v>
      </c>
      <c r="D417" s="1" t="s">
        <v>21</v>
      </c>
      <c r="E417" s="1" t="s">
        <v>5</v>
      </c>
      <c r="F417" s="1">
        <v>2</v>
      </c>
      <c r="G417" s="1">
        <v>923</v>
      </c>
      <c r="H417" s="1">
        <v>921</v>
      </c>
      <c r="I417" s="58"/>
      <c r="J417" s="58"/>
      <c r="K417" s="1" t="s">
        <v>834</v>
      </c>
    </row>
    <row r="418" spans="1:11" x14ac:dyDescent="0.25">
      <c r="A418" s="6">
        <v>46297</v>
      </c>
      <c r="B418" s="45">
        <v>0.93718749999999995</v>
      </c>
      <c r="C418" s="1" t="s">
        <v>458</v>
      </c>
      <c r="D418" s="1" t="s">
        <v>22</v>
      </c>
      <c r="E418" s="1" t="s">
        <v>104</v>
      </c>
      <c r="F418" s="1">
        <v>1</v>
      </c>
      <c r="G418" s="1">
        <v>13</v>
      </c>
      <c r="H418" s="1">
        <v>12</v>
      </c>
      <c r="I418" s="58">
        <v>2967</v>
      </c>
      <c r="J418" s="58">
        <v>2967</v>
      </c>
      <c r="K418" s="1" t="s">
        <v>835</v>
      </c>
    </row>
    <row r="419" spans="1:11" x14ac:dyDescent="0.25">
      <c r="A419" s="6">
        <v>46297</v>
      </c>
      <c r="B419" s="45">
        <v>0.93718749999999995</v>
      </c>
      <c r="C419" s="1" t="s">
        <v>458</v>
      </c>
      <c r="D419" s="1" t="s">
        <v>21</v>
      </c>
      <c r="E419" s="1" t="s">
        <v>5</v>
      </c>
      <c r="F419" s="1">
        <v>4</v>
      </c>
      <c r="G419" s="1">
        <v>921</v>
      </c>
      <c r="H419" s="1">
        <v>917</v>
      </c>
      <c r="I419" s="58"/>
      <c r="J419" s="58"/>
      <c r="K419" s="1" t="s">
        <v>835</v>
      </c>
    </row>
    <row r="420" spans="1:11" x14ac:dyDescent="0.25">
      <c r="A420" s="6">
        <v>46297</v>
      </c>
      <c r="B420" s="45">
        <v>0.93718749999999995</v>
      </c>
      <c r="C420" s="1" t="s">
        <v>458</v>
      </c>
      <c r="D420" s="1" t="s">
        <v>10</v>
      </c>
      <c r="E420" s="1" t="s">
        <v>15</v>
      </c>
      <c r="F420" s="1">
        <v>1</v>
      </c>
      <c r="G420" s="1">
        <v>16</v>
      </c>
      <c r="H420" s="1">
        <v>15</v>
      </c>
      <c r="I420" s="58"/>
      <c r="J420" s="58"/>
      <c r="K420" s="1" t="s">
        <v>835</v>
      </c>
    </row>
    <row r="421" spans="1:11" x14ac:dyDescent="0.25">
      <c r="A421" s="6">
        <v>46298</v>
      </c>
      <c r="B421" s="45">
        <v>0.74283564814814818</v>
      </c>
      <c r="C421" s="1" t="s">
        <v>458</v>
      </c>
      <c r="D421" s="1" t="s">
        <v>21</v>
      </c>
      <c r="E421" s="1" t="s">
        <v>5</v>
      </c>
      <c r="F421" s="1">
        <v>1</v>
      </c>
      <c r="G421" s="1">
        <v>917</v>
      </c>
      <c r="H421" s="1">
        <v>916</v>
      </c>
      <c r="I421" s="58"/>
      <c r="J421" s="58"/>
      <c r="K421" s="1" t="s">
        <v>836</v>
      </c>
    </row>
    <row r="422" spans="1:11" x14ac:dyDescent="0.25">
      <c r="A422" s="6">
        <v>46298</v>
      </c>
      <c r="B422" s="45">
        <v>0.78450231481481481</v>
      </c>
      <c r="C422" s="1" t="s">
        <v>458</v>
      </c>
      <c r="D422" s="1" t="s">
        <v>302</v>
      </c>
      <c r="E422" s="1" t="s">
        <v>161</v>
      </c>
      <c r="F422" s="1">
        <v>1</v>
      </c>
      <c r="G422" s="1">
        <v>29</v>
      </c>
      <c r="H422" s="1">
        <v>28</v>
      </c>
      <c r="I422" s="58">
        <v>660</v>
      </c>
      <c r="J422" s="58">
        <v>660</v>
      </c>
      <c r="K422" s="1" t="s">
        <v>837</v>
      </c>
    </row>
    <row r="423" spans="1:11" x14ac:dyDescent="0.25">
      <c r="A423" s="6">
        <v>46298</v>
      </c>
      <c r="B423" s="45">
        <v>0.78450231481481481</v>
      </c>
      <c r="C423" s="1" t="s">
        <v>458</v>
      </c>
      <c r="D423" s="1" t="s">
        <v>21</v>
      </c>
      <c r="E423" s="1" t="s">
        <v>5</v>
      </c>
      <c r="F423" s="1">
        <v>2</v>
      </c>
      <c r="G423" s="1">
        <v>916</v>
      </c>
      <c r="H423" s="1">
        <v>914</v>
      </c>
      <c r="I423" s="1"/>
      <c r="J423" s="1"/>
      <c r="K423" s="1" t="s">
        <v>837</v>
      </c>
    </row>
    <row r="424" spans="1:11" x14ac:dyDescent="0.25">
      <c r="A424" s="6">
        <v>46298</v>
      </c>
      <c r="B424" s="45">
        <v>0.78450231481481481</v>
      </c>
      <c r="C424" s="1" t="s">
        <v>458</v>
      </c>
      <c r="D424" s="1" t="s">
        <v>158</v>
      </c>
      <c r="E424" s="1" t="s">
        <v>159</v>
      </c>
      <c r="F424" s="1">
        <v>2</v>
      </c>
      <c r="G424" s="1">
        <v>31</v>
      </c>
      <c r="H424" s="1">
        <v>29</v>
      </c>
      <c r="I424" s="58">
        <v>800</v>
      </c>
      <c r="J424" s="58">
        <v>1600</v>
      </c>
      <c r="K424" s="1" t="s">
        <v>837</v>
      </c>
    </row>
    <row r="425" spans="1:11" x14ac:dyDescent="0.25">
      <c r="A425" s="66">
        <v>46298</v>
      </c>
      <c r="B425" s="45">
        <v>0.8200925925925926</v>
      </c>
      <c r="C425" s="1" t="s">
        <v>458</v>
      </c>
      <c r="D425" s="1" t="s">
        <v>110</v>
      </c>
      <c r="E425" s="1" t="s">
        <v>115</v>
      </c>
      <c r="F425" s="1">
        <v>1</v>
      </c>
      <c r="G425" s="1">
        <v>29995</v>
      </c>
      <c r="H425" s="1">
        <v>29994</v>
      </c>
      <c r="I425" s="58">
        <v>1000</v>
      </c>
      <c r="J425" s="58">
        <v>1000</v>
      </c>
      <c r="K425" s="1" t="s">
        <v>849</v>
      </c>
    </row>
    <row r="426" spans="1:11" x14ac:dyDescent="0.25">
      <c r="A426" s="66">
        <v>46298</v>
      </c>
      <c r="B426" s="45">
        <v>0.8200925925925926</v>
      </c>
      <c r="C426" s="1" t="s">
        <v>458</v>
      </c>
      <c r="D426" s="1" t="s">
        <v>65</v>
      </c>
      <c r="E426" s="1" t="s">
        <v>16</v>
      </c>
      <c r="F426" s="1">
        <v>2</v>
      </c>
      <c r="G426" s="1">
        <v>64</v>
      </c>
      <c r="H426" s="1">
        <v>62</v>
      </c>
      <c r="I426" s="58">
        <v>4030</v>
      </c>
      <c r="J426" s="58">
        <v>8060</v>
      </c>
      <c r="K426" s="1" t="s">
        <v>849</v>
      </c>
    </row>
    <row r="427" spans="1:11" x14ac:dyDescent="0.25">
      <c r="A427" s="66">
        <v>46298</v>
      </c>
      <c r="B427" s="45">
        <v>0.8200925925925926</v>
      </c>
      <c r="C427" s="1" t="s">
        <v>458</v>
      </c>
      <c r="D427" s="1" t="s">
        <v>28</v>
      </c>
      <c r="E427" s="1" t="s">
        <v>107</v>
      </c>
      <c r="F427" s="1">
        <v>1</v>
      </c>
      <c r="G427" s="1">
        <v>37</v>
      </c>
      <c r="H427" s="1">
        <v>36</v>
      </c>
      <c r="I427" s="58">
        <v>2290</v>
      </c>
      <c r="J427" s="58">
        <v>2290</v>
      </c>
      <c r="K427" s="1" t="s">
        <v>849</v>
      </c>
    </row>
    <row r="428" spans="1:11" x14ac:dyDescent="0.25">
      <c r="A428" s="66">
        <v>46298</v>
      </c>
      <c r="B428" s="45">
        <v>0.820775462962963</v>
      </c>
      <c r="C428" s="1" t="s">
        <v>458</v>
      </c>
      <c r="D428" s="1" t="s">
        <v>10</v>
      </c>
      <c r="E428" s="1" t="s">
        <v>15</v>
      </c>
      <c r="F428" s="1">
        <v>1</v>
      </c>
      <c r="G428" s="1">
        <v>15</v>
      </c>
      <c r="H428" s="1">
        <v>14</v>
      </c>
      <c r="I428" s="58"/>
      <c r="J428" s="58"/>
      <c r="K428" s="1" t="s">
        <v>850</v>
      </c>
    </row>
    <row r="429" spans="1:11" ht="30" x14ac:dyDescent="0.25">
      <c r="A429" s="66">
        <v>46298</v>
      </c>
      <c r="B429" s="45">
        <v>0.820775462962963</v>
      </c>
      <c r="C429" s="1" t="s">
        <v>458</v>
      </c>
      <c r="D429" s="1" t="s">
        <v>112</v>
      </c>
      <c r="E429" s="1" t="s">
        <v>114</v>
      </c>
      <c r="F429" s="1">
        <v>1</v>
      </c>
      <c r="G429" s="1">
        <v>9</v>
      </c>
      <c r="H429" s="1">
        <v>8</v>
      </c>
      <c r="I429" s="58"/>
      <c r="J429" s="58"/>
      <c r="K429" s="1" t="s">
        <v>850</v>
      </c>
    </row>
    <row r="430" spans="1:11" x14ac:dyDescent="0.25">
      <c r="A430" s="66">
        <v>46298</v>
      </c>
      <c r="B430" s="45">
        <v>0.820775462962963</v>
      </c>
      <c r="C430" s="1" t="s">
        <v>458</v>
      </c>
      <c r="D430" s="1" t="s">
        <v>21</v>
      </c>
      <c r="E430" s="1" t="s">
        <v>5</v>
      </c>
      <c r="F430" s="1">
        <v>1</v>
      </c>
      <c r="G430" s="1">
        <v>916</v>
      </c>
      <c r="H430" s="1">
        <v>915</v>
      </c>
      <c r="I430" s="58"/>
      <c r="J430" s="58"/>
      <c r="K430" s="1" t="s">
        <v>850</v>
      </c>
    </row>
    <row r="431" spans="1:11" x14ac:dyDescent="0.25">
      <c r="A431" s="66">
        <v>46298</v>
      </c>
      <c r="B431" s="45">
        <v>0.92712962962962964</v>
      </c>
      <c r="C431" s="1" t="s">
        <v>458</v>
      </c>
      <c r="D431" s="1" t="s">
        <v>65</v>
      </c>
      <c r="E431" s="1" t="s">
        <v>16</v>
      </c>
      <c r="F431" s="1">
        <v>1</v>
      </c>
      <c r="G431" s="1">
        <v>62</v>
      </c>
      <c r="H431" s="1">
        <v>61</v>
      </c>
      <c r="I431" s="58">
        <v>4030</v>
      </c>
      <c r="J431" s="58">
        <v>4030</v>
      </c>
      <c r="K431" s="1" t="s">
        <v>851</v>
      </c>
    </row>
    <row r="432" spans="1:11" x14ac:dyDescent="0.25">
      <c r="A432" s="66">
        <v>46298</v>
      </c>
      <c r="B432" s="45">
        <v>0.92712962962962964</v>
      </c>
      <c r="C432" s="1" t="s">
        <v>458</v>
      </c>
      <c r="D432" s="1" t="s">
        <v>10</v>
      </c>
      <c r="E432" s="1" t="s">
        <v>15</v>
      </c>
      <c r="F432" s="1">
        <v>1</v>
      </c>
      <c r="G432" s="1">
        <v>14</v>
      </c>
      <c r="H432" s="1">
        <v>13</v>
      </c>
      <c r="I432" s="58"/>
      <c r="J432" s="58"/>
      <c r="K432" s="1" t="s">
        <v>851</v>
      </c>
    </row>
    <row r="433" spans="1:11" x14ac:dyDescent="0.25">
      <c r="A433" s="66">
        <v>46298</v>
      </c>
      <c r="B433" s="45">
        <v>0.92712962962962964</v>
      </c>
      <c r="C433" s="1" t="s">
        <v>458</v>
      </c>
      <c r="D433" s="1" t="s">
        <v>110</v>
      </c>
      <c r="E433" s="1" t="s">
        <v>115</v>
      </c>
      <c r="F433" s="1">
        <v>2</v>
      </c>
      <c r="G433" s="1">
        <v>29994</v>
      </c>
      <c r="H433" s="1">
        <v>29992</v>
      </c>
      <c r="I433" s="58">
        <v>1000</v>
      </c>
      <c r="J433" s="58">
        <v>2000</v>
      </c>
      <c r="K433" s="1" t="s">
        <v>851</v>
      </c>
    </row>
    <row r="434" spans="1:11" x14ac:dyDescent="0.25">
      <c r="A434" s="66">
        <v>46298</v>
      </c>
      <c r="B434" s="45">
        <v>0.96399305555555559</v>
      </c>
      <c r="C434" s="1" t="s">
        <v>458</v>
      </c>
      <c r="D434" s="1" t="s">
        <v>22</v>
      </c>
      <c r="E434" s="1" t="s">
        <v>104</v>
      </c>
      <c r="F434" s="1">
        <v>1</v>
      </c>
      <c r="G434" s="1">
        <v>12</v>
      </c>
      <c r="H434" s="1">
        <v>11</v>
      </c>
      <c r="I434" s="58">
        <v>2967</v>
      </c>
      <c r="J434" s="58">
        <v>2967</v>
      </c>
      <c r="K434" s="1" t="s">
        <v>852</v>
      </c>
    </row>
    <row r="435" spans="1:11" ht="30" x14ac:dyDescent="0.25">
      <c r="A435" s="66">
        <v>46298</v>
      </c>
      <c r="B435" s="45">
        <v>0.96399305555555559</v>
      </c>
      <c r="C435" s="1" t="s">
        <v>458</v>
      </c>
      <c r="D435" s="1" t="s">
        <v>27</v>
      </c>
      <c r="E435" s="1" t="s">
        <v>106</v>
      </c>
      <c r="F435" s="1">
        <v>1</v>
      </c>
      <c r="G435" s="1">
        <v>21</v>
      </c>
      <c r="H435" s="1">
        <v>20</v>
      </c>
      <c r="I435" s="58">
        <v>2967</v>
      </c>
      <c r="J435" s="58">
        <v>2967</v>
      </c>
      <c r="K435" s="1" t="s">
        <v>852</v>
      </c>
    </row>
    <row r="436" spans="1:11" x14ac:dyDescent="0.25">
      <c r="A436" s="66">
        <v>46298</v>
      </c>
      <c r="B436" s="45">
        <v>0.96405092592592589</v>
      </c>
      <c r="C436" s="1" t="s">
        <v>458</v>
      </c>
      <c r="D436" s="1" t="s">
        <v>31</v>
      </c>
      <c r="E436" s="1" t="s">
        <v>109</v>
      </c>
      <c r="F436" s="1">
        <v>1</v>
      </c>
      <c r="G436" s="1">
        <v>2</v>
      </c>
      <c r="H436" s="1">
        <v>1</v>
      </c>
      <c r="I436" s="58">
        <v>2354</v>
      </c>
      <c r="J436" s="58">
        <v>2354</v>
      </c>
      <c r="K436" s="1" t="s">
        <v>853</v>
      </c>
    </row>
    <row r="437" spans="1:11" x14ac:dyDescent="0.25">
      <c r="A437" s="66">
        <v>46298</v>
      </c>
      <c r="B437" s="45">
        <v>0.9854398148148148</v>
      </c>
      <c r="C437" s="1" t="s">
        <v>458</v>
      </c>
      <c r="D437" s="1" t="s">
        <v>182</v>
      </c>
      <c r="E437" s="1" t="s">
        <v>183</v>
      </c>
      <c r="F437" s="1">
        <v>2</v>
      </c>
      <c r="G437" s="1">
        <v>19</v>
      </c>
      <c r="H437" s="1">
        <v>17</v>
      </c>
      <c r="I437" s="58">
        <v>4847</v>
      </c>
      <c r="J437" s="58">
        <v>9694</v>
      </c>
      <c r="K437" s="1" t="s">
        <v>854</v>
      </c>
    </row>
    <row r="438" spans="1:11" x14ac:dyDescent="0.25">
      <c r="A438" s="66">
        <v>46298</v>
      </c>
      <c r="B438" s="45">
        <v>0.9854398148148148</v>
      </c>
      <c r="C438" s="1" t="s">
        <v>458</v>
      </c>
      <c r="D438" s="1" t="s">
        <v>65</v>
      </c>
      <c r="E438" s="1" t="s">
        <v>16</v>
      </c>
      <c r="F438" s="1">
        <v>1</v>
      </c>
      <c r="G438" s="1">
        <v>61</v>
      </c>
      <c r="H438" s="1">
        <v>60</v>
      </c>
      <c r="I438" s="58">
        <v>4030</v>
      </c>
      <c r="J438" s="58">
        <v>4030</v>
      </c>
      <c r="K438" s="1" t="s">
        <v>854</v>
      </c>
    </row>
    <row r="439" spans="1:11" x14ac:dyDescent="0.25">
      <c r="A439" s="66">
        <v>46298</v>
      </c>
      <c r="B439" s="45">
        <v>0.9884722222222222</v>
      </c>
      <c r="C439" s="1" t="s">
        <v>458</v>
      </c>
      <c r="D439" s="1" t="s">
        <v>65</v>
      </c>
      <c r="E439" s="1" t="s">
        <v>16</v>
      </c>
      <c r="F439" s="1">
        <v>2</v>
      </c>
      <c r="G439" s="1">
        <v>60</v>
      </c>
      <c r="H439" s="1">
        <v>58</v>
      </c>
      <c r="I439" s="58">
        <v>4030</v>
      </c>
      <c r="J439" s="58">
        <v>8060</v>
      </c>
      <c r="K439" s="1" t="s">
        <v>855</v>
      </c>
    </row>
    <row r="440" spans="1:11" x14ac:dyDescent="0.25">
      <c r="A440" s="66">
        <v>46299</v>
      </c>
      <c r="B440" s="45">
        <v>3.7280092592592594E-2</v>
      </c>
      <c r="C440" s="1" t="s">
        <v>458</v>
      </c>
      <c r="D440" s="1" t="s">
        <v>21</v>
      </c>
      <c r="E440" s="1" t="s">
        <v>5</v>
      </c>
      <c r="F440" s="1">
        <v>3</v>
      </c>
      <c r="G440" s="1">
        <v>915</v>
      </c>
      <c r="H440" s="1">
        <v>912</v>
      </c>
      <c r="I440" s="58"/>
      <c r="J440" s="58"/>
      <c r="K440" s="1" t="s">
        <v>856</v>
      </c>
    </row>
    <row r="441" spans="1:11" x14ac:dyDescent="0.25">
      <c r="A441" s="66">
        <v>46299</v>
      </c>
      <c r="B441" s="45">
        <v>3.7280092592592594E-2</v>
      </c>
      <c r="C441" s="1" t="s">
        <v>458</v>
      </c>
      <c r="D441" s="1" t="s">
        <v>22</v>
      </c>
      <c r="E441" s="1" t="s">
        <v>104</v>
      </c>
      <c r="F441" s="1">
        <v>1</v>
      </c>
      <c r="G441" s="1">
        <v>11</v>
      </c>
      <c r="H441" s="1">
        <v>10</v>
      </c>
      <c r="I441" s="58">
        <v>2967</v>
      </c>
      <c r="J441" s="58">
        <v>2967</v>
      </c>
      <c r="K441" s="1" t="s">
        <v>856</v>
      </c>
    </row>
    <row r="442" spans="1:11" x14ac:dyDescent="0.25">
      <c r="A442" s="66">
        <v>46302</v>
      </c>
      <c r="B442" s="45">
        <v>0.65112268518518523</v>
      </c>
      <c r="C442" s="1" t="s">
        <v>458</v>
      </c>
      <c r="D442" s="1" t="s">
        <v>21</v>
      </c>
      <c r="E442" s="1" t="s">
        <v>5</v>
      </c>
      <c r="F442" s="1">
        <v>1</v>
      </c>
      <c r="G442" s="1">
        <v>912</v>
      </c>
      <c r="H442" s="1">
        <v>911</v>
      </c>
      <c r="I442" s="58"/>
      <c r="J442" s="58"/>
      <c r="K442" s="1" t="s">
        <v>857</v>
      </c>
    </row>
    <row r="443" spans="1:11" x14ac:dyDescent="0.25">
      <c r="A443" s="66">
        <v>46302</v>
      </c>
      <c r="B443" s="45">
        <v>0.65167824074074077</v>
      </c>
      <c r="C443" s="1" t="s">
        <v>458</v>
      </c>
      <c r="D443" s="1" t="s">
        <v>65</v>
      </c>
      <c r="E443" s="1" t="s">
        <v>16</v>
      </c>
      <c r="F443" s="1">
        <v>1</v>
      </c>
      <c r="G443" s="1">
        <v>58</v>
      </c>
      <c r="H443" s="1">
        <v>57</v>
      </c>
      <c r="I443" s="58">
        <v>4030</v>
      </c>
      <c r="J443" s="58">
        <v>4030</v>
      </c>
      <c r="K443" s="1" t="s">
        <v>858</v>
      </c>
    </row>
    <row r="444" spans="1:11" x14ac:dyDescent="0.25">
      <c r="A444" s="66">
        <v>46302</v>
      </c>
      <c r="B444" s="45">
        <v>0.65240740740740744</v>
      </c>
      <c r="C444" s="1" t="s">
        <v>300</v>
      </c>
      <c r="D444" s="1" t="s">
        <v>65</v>
      </c>
      <c r="E444" s="1" t="s">
        <v>16</v>
      </c>
      <c r="F444" s="1">
        <v>24</v>
      </c>
      <c r="G444" s="1">
        <v>57</v>
      </c>
      <c r="H444" s="1">
        <v>81</v>
      </c>
      <c r="I444" s="58">
        <v>4030</v>
      </c>
      <c r="J444" s="58">
        <v>96720</v>
      </c>
      <c r="K444" s="1"/>
    </row>
    <row r="445" spans="1:11" x14ac:dyDescent="0.25">
      <c r="A445" s="66">
        <v>46302</v>
      </c>
      <c r="B445" s="45">
        <v>0.75457175925925923</v>
      </c>
      <c r="C445" s="1" t="s">
        <v>458</v>
      </c>
      <c r="D445" s="1" t="s">
        <v>182</v>
      </c>
      <c r="E445" s="1" t="s">
        <v>183</v>
      </c>
      <c r="F445" s="1">
        <v>1</v>
      </c>
      <c r="G445" s="1">
        <v>17</v>
      </c>
      <c r="H445" s="1">
        <v>16</v>
      </c>
      <c r="I445" s="58">
        <v>4847</v>
      </c>
      <c r="J445" s="58">
        <v>4847</v>
      </c>
      <c r="K445" s="1" t="s">
        <v>859</v>
      </c>
    </row>
    <row r="446" spans="1:11" x14ac:dyDescent="0.25">
      <c r="A446" s="66">
        <v>46302</v>
      </c>
      <c r="B446" s="45">
        <v>0.76261574074074079</v>
      </c>
      <c r="C446" s="1" t="s">
        <v>458</v>
      </c>
      <c r="D446" s="1" t="s">
        <v>10</v>
      </c>
      <c r="E446" s="1" t="s">
        <v>15</v>
      </c>
      <c r="F446" s="1">
        <v>1</v>
      </c>
      <c r="G446" s="1">
        <v>13</v>
      </c>
      <c r="H446" s="1">
        <v>12</v>
      </c>
      <c r="I446" s="58"/>
      <c r="J446" s="58"/>
      <c r="K446" s="1" t="s">
        <v>860</v>
      </c>
    </row>
    <row r="447" spans="1:11" x14ac:dyDescent="0.25">
      <c r="A447" s="66">
        <v>46302</v>
      </c>
      <c r="B447" s="45">
        <v>0.85421296296296301</v>
      </c>
      <c r="C447" s="1" t="s">
        <v>458</v>
      </c>
      <c r="D447" s="1" t="s">
        <v>158</v>
      </c>
      <c r="E447" s="1" t="s">
        <v>159</v>
      </c>
      <c r="F447" s="1">
        <v>2</v>
      </c>
      <c r="G447" s="1">
        <v>29</v>
      </c>
      <c r="H447" s="1">
        <v>27</v>
      </c>
      <c r="I447" s="58">
        <v>800</v>
      </c>
      <c r="J447" s="58">
        <v>1600</v>
      </c>
      <c r="K447" s="1" t="s">
        <v>861</v>
      </c>
    </row>
    <row r="448" spans="1:11" x14ac:dyDescent="0.25">
      <c r="A448" s="66">
        <v>46302</v>
      </c>
      <c r="B448" s="45">
        <v>0.85421296296296301</v>
      </c>
      <c r="C448" s="1" t="s">
        <v>458</v>
      </c>
      <c r="D448" s="1" t="s">
        <v>182</v>
      </c>
      <c r="E448" s="1" t="s">
        <v>183</v>
      </c>
      <c r="F448" s="1">
        <v>2</v>
      </c>
      <c r="G448" s="1">
        <v>16</v>
      </c>
      <c r="H448" s="1">
        <v>14</v>
      </c>
      <c r="I448" s="58">
        <v>4847</v>
      </c>
      <c r="J448" s="58">
        <v>9694</v>
      </c>
      <c r="K448" s="1" t="s">
        <v>861</v>
      </c>
    </row>
    <row r="449" spans="1:11" x14ac:dyDescent="0.25">
      <c r="A449" s="66">
        <v>46302</v>
      </c>
      <c r="B449" s="45">
        <v>0.85421296296296301</v>
      </c>
      <c r="C449" s="1" t="s">
        <v>458</v>
      </c>
      <c r="D449" s="1" t="s">
        <v>302</v>
      </c>
      <c r="E449" s="1" t="s">
        <v>161</v>
      </c>
      <c r="F449" s="1">
        <v>1</v>
      </c>
      <c r="G449" s="1">
        <v>29</v>
      </c>
      <c r="H449" s="1">
        <v>28</v>
      </c>
      <c r="I449" s="58">
        <v>660</v>
      </c>
      <c r="J449" s="58">
        <v>660</v>
      </c>
      <c r="K449" s="1" t="s">
        <v>861</v>
      </c>
    </row>
    <row r="450" spans="1:11" x14ac:dyDescent="0.25">
      <c r="A450" s="66">
        <v>46302</v>
      </c>
      <c r="B450" s="45">
        <v>0.85421296296296301</v>
      </c>
      <c r="C450" s="1" t="s">
        <v>458</v>
      </c>
      <c r="D450" s="1" t="s">
        <v>65</v>
      </c>
      <c r="E450" s="1" t="s">
        <v>16</v>
      </c>
      <c r="F450" s="1">
        <v>1</v>
      </c>
      <c r="G450" s="1">
        <v>81</v>
      </c>
      <c r="H450" s="1">
        <v>80</v>
      </c>
      <c r="I450" s="58">
        <v>4030</v>
      </c>
      <c r="J450" s="58">
        <v>4030</v>
      </c>
      <c r="K450" s="1" t="s">
        <v>861</v>
      </c>
    </row>
    <row r="451" spans="1:11" x14ac:dyDescent="0.25">
      <c r="A451" s="66">
        <v>46302</v>
      </c>
      <c r="B451" s="45">
        <v>0.85452546296296295</v>
      </c>
      <c r="C451" s="1" t="s">
        <v>458</v>
      </c>
      <c r="D451" s="1" t="s">
        <v>10</v>
      </c>
      <c r="E451" s="1" t="s">
        <v>15</v>
      </c>
      <c r="F451" s="1">
        <v>1</v>
      </c>
      <c r="G451" s="1">
        <v>12</v>
      </c>
      <c r="H451" s="1">
        <v>11</v>
      </c>
      <c r="I451" s="58"/>
      <c r="J451" s="58"/>
      <c r="K451" s="1" t="s">
        <v>862</v>
      </c>
    </row>
    <row r="452" spans="1:11" x14ac:dyDescent="0.25">
      <c r="A452" s="66">
        <v>46302</v>
      </c>
      <c r="B452" s="45">
        <v>0.85896990740740742</v>
      </c>
      <c r="C452" s="1" t="s">
        <v>458</v>
      </c>
      <c r="D452" s="1" t="s">
        <v>23</v>
      </c>
      <c r="E452" s="1" t="s">
        <v>13</v>
      </c>
      <c r="F452" s="1">
        <v>1</v>
      </c>
      <c r="G452" s="1">
        <v>96</v>
      </c>
      <c r="H452" s="1">
        <v>95</v>
      </c>
      <c r="I452" s="58"/>
      <c r="J452" s="58"/>
      <c r="K452" s="1" t="s">
        <v>863</v>
      </c>
    </row>
    <row r="453" spans="1:11" x14ac:dyDescent="0.25">
      <c r="A453" s="66">
        <v>46302</v>
      </c>
      <c r="B453" s="45">
        <v>0.85896990740740742</v>
      </c>
      <c r="C453" s="1" t="s">
        <v>458</v>
      </c>
      <c r="D453" s="1" t="s">
        <v>164</v>
      </c>
      <c r="E453" s="1" t="s">
        <v>165</v>
      </c>
      <c r="F453" s="1">
        <v>1</v>
      </c>
      <c r="G453" s="1">
        <v>18</v>
      </c>
      <c r="H453" s="1">
        <v>17</v>
      </c>
      <c r="I453" s="58"/>
      <c r="J453" s="58"/>
      <c r="K453" s="1" t="s">
        <v>863</v>
      </c>
    </row>
    <row r="454" spans="1:11" x14ac:dyDescent="0.25">
      <c r="A454" s="66">
        <v>46302</v>
      </c>
      <c r="B454" s="45">
        <v>0.85935185185185181</v>
      </c>
      <c r="C454" s="1" t="s">
        <v>458</v>
      </c>
      <c r="D454" s="1" t="s">
        <v>110</v>
      </c>
      <c r="E454" s="1" t="s">
        <v>115</v>
      </c>
      <c r="F454" s="1">
        <v>1</v>
      </c>
      <c r="G454" s="1">
        <v>29992</v>
      </c>
      <c r="H454" s="1">
        <v>29991</v>
      </c>
      <c r="I454" s="58">
        <v>1000</v>
      </c>
      <c r="J454" s="58">
        <v>1000</v>
      </c>
      <c r="K454" s="1" t="s">
        <v>864</v>
      </c>
    </row>
    <row r="455" spans="1:11" x14ac:dyDescent="0.25">
      <c r="A455" s="66">
        <v>46302</v>
      </c>
      <c r="B455" s="45">
        <v>0.85935185185185181</v>
      </c>
      <c r="C455" s="1" t="s">
        <v>458</v>
      </c>
      <c r="D455" s="1" t="s">
        <v>31</v>
      </c>
      <c r="E455" s="1" t="s">
        <v>109</v>
      </c>
      <c r="F455" s="1">
        <v>1</v>
      </c>
      <c r="G455" s="1">
        <v>1</v>
      </c>
      <c r="H455" s="1">
        <v>0</v>
      </c>
      <c r="I455" s="58">
        <v>2354</v>
      </c>
      <c r="J455" s="58">
        <v>2354</v>
      </c>
      <c r="K455" s="1" t="s">
        <v>864</v>
      </c>
    </row>
    <row r="456" spans="1:11" x14ac:dyDescent="0.25">
      <c r="A456" s="66">
        <v>46302</v>
      </c>
      <c r="B456" s="45">
        <v>0.85956018518518518</v>
      </c>
      <c r="C456" s="1" t="s">
        <v>458</v>
      </c>
      <c r="D456" s="1" t="s">
        <v>164</v>
      </c>
      <c r="E456" s="1" t="s">
        <v>165</v>
      </c>
      <c r="F456" s="1">
        <v>1</v>
      </c>
      <c r="G456" s="1">
        <v>17</v>
      </c>
      <c r="H456" s="1">
        <v>16</v>
      </c>
      <c r="I456" s="58"/>
      <c r="J456" s="58"/>
      <c r="K456" s="1" t="s">
        <v>865</v>
      </c>
    </row>
    <row r="457" spans="1:11" x14ac:dyDescent="0.25">
      <c r="A457" s="66">
        <v>46302</v>
      </c>
      <c r="B457" s="45">
        <v>0.85961805555555559</v>
      </c>
      <c r="C457" s="1" t="s">
        <v>458</v>
      </c>
      <c r="D457" s="1" t="s">
        <v>21</v>
      </c>
      <c r="E457" s="1" t="s">
        <v>5</v>
      </c>
      <c r="F457" s="1">
        <v>1</v>
      </c>
      <c r="G457" s="1">
        <v>911</v>
      </c>
      <c r="H457" s="1">
        <v>910</v>
      </c>
      <c r="I457" s="58"/>
      <c r="J457" s="58"/>
      <c r="K457" s="1" t="s">
        <v>866</v>
      </c>
    </row>
    <row r="458" spans="1:11" ht="30" x14ac:dyDescent="0.25">
      <c r="A458" s="66">
        <v>46302</v>
      </c>
      <c r="B458" s="45">
        <v>0.85961805555555559</v>
      </c>
      <c r="C458" s="1" t="s">
        <v>458</v>
      </c>
      <c r="D458" s="1" t="s">
        <v>113</v>
      </c>
      <c r="E458" s="1" t="s">
        <v>171</v>
      </c>
      <c r="F458" s="1">
        <v>1</v>
      </c>
      <c r="G458" s="1">
        <v>9</v>
      </c>
      <c r="H458" s="1">
        <v>8</v>
      </c>
      <c r="I458" s="58"/>
      <c r="J458" s="58"/>
      <c r="K458" s="1" t="s">
        <v>866</v>
      </c>
    </row>
    <row r="459" spans="1:11" x14ac:dyDescent="0.25">
      <c r="A459" s="66">
        <v>46302</v>
      </c>
      <c r="B459" s="45">
        <v>0.87967592592592592</v>
      </c>
      <c r="C459" s="1" t="s">
        <v>458</v>
      </c>
      <c r="D459" s="1" t="s">
        <v>25</v>
      </c>
      <c r="E459" s="1" t="s">
        <v>12</v>
      </c>
      <c r="F459" s="1">
        <v>1</v>
      </c>
      <c r="G459" s="1">
        <v>96</v>
      </c>
      <c r="H459" s="1">
        <v>95</v>
      </c>
      <c r="I459" s="58"/>
      <c r="J459" s="58"/>
      <c r="K459" s="1" t="s">
        <v>867</v>
      </c>
    </row>
    <row r="460" spans="1:11" x14ac:dyDescent="0.25">
      <c r="A460" s="66">
        <v>46302</v>
      </c>
      <c r="B460" s="45">
        <v>0.8797800925925926</v>
      </c>
      <c r="C460" s="1" t="s">
        <v>458</v>
      </c>
      <c r="D460" s="1" t="s">
        <v>25</v>
      </c>
      <c r="E460" s="1" t="s">
        <v>12</v>
      </c>
      <c r="F460" s="1">
        <v>1</v>
      </c>
      <c r="G460" s="1">
        <v>95</v>
      </c>
      <c r="H460" s="1">
        <v>94</v>
      </c>
      <c r="I460" s="58"/>
      <c r="J460" s="58"/>
      <c r="K460" s="1" t="s">
        <v>867</v>
      </c>
    </row>
    <row r="461" spans="1:11" x14ac:dyDescent="0.25">
      <c r="A461" s="66">
        <v>46302</v>
      </c>
      <c r="B461" s="45">
        <v>0.88043981481481481</v>
      </c>
      <c r="C461" s="1" t="s">
        <v>458</v>
      </c>
      <c r="D461" s="1" t="s">
        <v>28</v>
      </c>
      <c r="E461" s="1" t="s">
        <v>107</v>
      </c>
      <c r="F461" s="1">
        <v>7</v>
      </c>
      <c r="G461" s="1">
        <v>36</v>
      </c>
      <c r="H461" s="1">
        <v>29</v>
      </c>
      <c r="I461" s="58">
        <v>2290</v>
      </c>
      <c r="J461" s="58">
        <v>16030</v>
      </c>
      <c r="K461" s="1" t="s">
        <v>868</v>
      </c>
    </row>
    <row r="462" spans="1:11" x14ac:dyDescent="0.25">
      <c r="A462" s="66">
        <v>46302</v>
      </c>
      <c r="B462" s="45">
        <v>0.88043981481481481</v>
      </c>
      <c r="C462" s="1" t="s">
        <v>458</v>
      </c>
      <c r="D462" s="1" t="s">
        <v>65</v>
      </c>
      <c r="E462" s="1" t="s">
        <v>16</v>
      </c>
      <c r="F462" s="1">
        <v>1</v>
      </c>
      <c r="G462" s="1">
        <v>80</v>
      </c>
      <c r="H462" s="1">
        <v>79</v>
      </c>
      <c r="I462" s="58">
        <v>4030</v>
      </c>
      <c r="J462" s="58">
        <v>4030</v>
      </c>
      <c r="K462" s="1" t="s">
        <v>868</v>
      </c>
    </row>
    <row r="463" spans="1:11" x14ac:dyDescent="0.25">
      <c r="A463" s="66">
        <v>46302</v>
      </c>
      <c r="B463" s="45">
        <v>0.88081018518518517</v>
      </c>
      <c r="C463" s="1" t="s">
        <v>458</v>
      </c>
      <c r="D463" s="1" t="s">
        <v>28</v>
      </c>
      <c r="E463" s="1" t="s">
        <v>107</v>
      </c>
      <c r="F463" s="1">
        <v>1</v>
      </c>
      <c r="G463" s="1">
        <v>29</v>
      </c>
      <c r="H463" s="1">
        <v>28</v>
      </c>
      <c r="I463" s="58">
        <v>2290</v>
      </c>
      <c r="J463" s="58">
        <v>2290</v>
      </c>
      <c r="K463" s="1" t="s">
        <v>869</v>
      </c>
    </row>
    <row r="464" spans="1:11" x14ac:dyDescent="0.25">
      <c r="A464" s="66">
        <v>46302</v>
      </c>
      <c r="B464" s="45">
        <v>0.88260416666666663</v>
      </c>
      <c r="C464" s="1" t="s">
        <v>458</v>
      </c>
      <c r="D464" s="1" t="s">
        <v>21</v>
      </c>
      <c r="E464" s="1" t="s">
        <v>5</v>
      </c>
      <c r="F464" s="1">
        <v>1</v>
      </c>
      <c r="G464" s="1">
        <v>910</v>
      </c>
      <c r="H464" s="1">
        <v>909</v>
      </c>
      <c r="I464" s="58"/>
      <c r="J464" s="58"/>
      <c r="K464" s="1" t="s">
        <v>870</v>
      </c>
    </row>
    <row r="465" spans="1:11" x14ac:dyDescent="0.25">
      <c r="A465" s="66">
        <v>46302</v>
      </c>
      <c r="B465" s="45">
        <v>0.88949074074074075</v>
      </c>
      <c r="C465" s="1" t="s">
        <v>458</v>
      </c>
      <c r="D465" s="1" t="s">
        <v>110</v>
      </c>
      <c r="E465" s="1" t="s">
        <v>115</v>
      </c>
      <c r="F465" s="1">
        <v>1</v>
      </c>
      <c r="G465" s="1">
        <v>29991</v>
      </c>
      <c r="H465" s="1">
        <v>29990</v>
      </c>
      <c r="I465" s="58">
        <v>1000</v>
      </c>
      <c r="J465" s="58">
        <v>1000</v>
      </c>
      <c r="K465" s="1" t="s">
        <v>871</v>
      </c>
    </row>
    <row r="466" spans="1:11" x14ac:dyDescent="0.25">
      <c r="A466" s="66">
        <v>46302</v>
      </c>
      <c r="B466" s="45">
        <v>0.88998842592592597</v>
      </c>
      <c r="C466" s="1" t="s">
        <v>458</v>
      </c>
      <c r="D466" s="1" t="s">
        <v>10</v>
      </c>
      <c r="E466" s="1" t="s">
        <v>15</v>
      </c>
      <c r="F466" s="1">
        <v>1</v>
      </c>
      <c r="G466" s="1">
        <v>11</v>
      </c>
      <c r="H466" s="1">
        <v>10</v>
      </c>
      <c r="I466" s="58"/>
      <c r="J466" s="58"/>
      <c r="K466" s="1" t="s">
        <v>872</v>
      </c>
    </row>
    <row r="467" spans="1:11" x14ac:dyDescent="0.25">
      <c r="A467" s="66">
        <v>46302</v>
      </c>
      <c r="B467" s="45">
        <v>0.89004629629629628</v>
      </c>
      <c r="C467" s="1" t="s">
        <v>458</v>
      </c>
      <c r="D467" s="1" t="s">
        <v>110</v>
      </c>
      <c r="E467" s="1" t="s">
        <v>115</v>
      </c>
      <c r="F467" s="1">
        <v>1</v>
      </c>
      <c r="G467" s="1">
        <v>29990</v>
      </c>
      <c r="H467" s="1">
        <v>29989</v>
      </c>
      <c r="I467" s="58">
        <v>1000</v>
      </c>
      <c r="J467" s="58">
        <v>1000</v>
      </c>
      <c r="K467" s="1" t="s">
        <v>873</v>
      </c>
    </row>
    <row r="468" spans="1:11" x14ac:dyDescent="0.25">
      <c r="A468" s="66">
        <v>46302</v>
      </c>
      <c r="B468" s="45">
        <v>0.90122685185185181</v>
      </c>
      <c r="C468" s="1" t="s">
        <v>458</v>
      </c>
      <c r="D468" s="1" t="s">
        <v>10</v>
      </c>
      <c r="E468" s="1" t="s">
        <v>15</v>
      </c>
      <c r="F468" s="1">
        <v>2</v>
      </c>
      <c r="G468" s="1">
        <v>10</v>
      </c>
      <c r="H468" s="1">
        <v>8</v>
      </c>
      <c r="I468" s="58"/>
      <c r="J468" s="58"/>
      <c r="K468" s="1" t="s">
        <v>874</v>
      </c>
    </row>
    <row r="469" spans="1:11" x14ac:dyDescent="0.25">
      <c r="A469" s="66">
        <v>46302</v>
      </c>
      <c r="B469" s="45">
        <v>0.90122685185185181</v>
      </c>
      <c r="C469" s="1" t="s">
        <v>458</v>
      </c>
      <c r="D469" s="1" t="s">
        <v>65</v>
      </c>
      <c r="E469" s="1" t="s">
        <v>16</v>
      </c>
      <c r="F469" s="1">
        <v>1</v>
      </c>
      <c r="G469" s="1">
        <v>79</v>
      </c>
      <c r="H469" s="1">
        <v>78</v>
      </c>
      <c r="I469" s="58">
        <v>4030</v>
      </c>
      <c r="J469" s="58">
        <v>4030</v>
      </c>
      <c r="K469" s="1" t="s">
        <v>874</v>
      </c>
    </row>
    <row r="470" spans="1:11" x14ac:dyDescent="0.25">
      <c r="A470" s="66">
        <v>46302</v>
      </c>
      <c r="B470" s="45">
        <v>0.90122685185185181</v>
      </c>
      <c r="C470" s="1" t="s">
        <v>458</v>
      </c>
      <c r="D470" s="1" t="s">
        <v>23</v>
      </c>
      <c r="E470" s="1" t="s">
        <v>13</v>
      </c>
      <c r="F470" s="1">
        <v>1</v>
      </c>
      <c r="G470" s="1">
        <v>95</v>
      </c>
      <c r="H470" s="1">
        <v>94</v>
      </c>
      <c r="I470" s="58"/>
      <c r="J470" s="58"/>
      <c r="K470" s="1" t="s">
        <v>874</v>
      </c>
    </row>
    <row r="471" spans="1:11" ht="30" x14ac:dyDescent="0.25">
      <c r="A471" s="66">
        <v>46302</v>
      </c>
      <c r="B471" s="45">
        <v>0.90252314814814816</v>
      </c>
      <c r="C471" s="1" t="s">
        <v>458</v>
      </c>
      <c r="D471" s="1" t="s">
        <v>127</v>
      </c>
      <c r="E471" s="1" t="s">
        <v>128</v>
      </c>
      <c r="F471" s="1">
        <v>1</v>
      </c>
      <c r="G471" s="1">
        <v>9</v>
      </c>
      <c r="H471" s="1">
        <v>8</v>
      </c>
      <c r="I471" s="58"/>
      <c r="J471" s="58"/>
      <c r="K471" s="1" t="s">
        <v>875</v>
      </c>
    </row>
    <row r="472" spans="1:11" x14ac:dyDescent="0.25">
      <c r="A472" s="66">
        <v>46302</v>
      </c>
      <c r="B472" s="45">
        <v>0.90252314814814816</v>
      </c>
      <c r="C472" s="1" t="s">
        <v>458</v>
      </c>
      <c r="D472" s="1" t="s">
        <v>164</v>
      </c>
      <c r="E472" s="1" t="s">
        <v>165</v>
      </c>
      <c r="F472" s="1">
        <v>1</v>
      </c>
      <c r="G472" s="1">
        <v>16</v>
      </c>
      <c r="H472" s="1">
        <v>15</v>
      </c>
      <c r="I472" s="58"/>
      <c r="J472" s="58"/>
      <c r="K472" s="1" t="s">
        <v>875</v>
      </c>
    </row>
    <row r="473" spans="1:11" x14ac:dyDescent="0.25">
      <c r="A473" s="66">
        <v>46302</v>
      </c>
      <c r="B473" s="45">
        <v>0.90759259259259262</v>
      </c>
      <c r="C473" s="1" t="s">
        <v>458</v>
      </c>
      <c r="D473" s="1" t="s">
        <v>10</v>
      </c>
      <c r="E473" s="1" t="s">
        <v>15</v>
      </c>
      <c r="F473" s="1">
        <v>1</v>
      </c>
      <c r="G473" s="1">
        <v>8</v>
      </c>
      <c r="H473" s="1">
        <v>7</v>
      </c>
      <c r="I473" s="58"/>
      <c r="J473" s="58"/>
      <c r="K473" s="1" t="s">
        <v>876</v>
      </c>
    </row>
    <row r="474" spans="1:11" x14ac:dyDescent="0.25">
      <c r="A474" s="66">
        <v>46302</v>
      </c>
      <c r="B474" s="45">
        <v>0.94172453703703707</v>
      </c>
      <c r="C474" s="1" t="s">
        <v>458</v>
      </c>
      <c r="D474" s="1" t="s">
        <v>21</v>
      </c>
      <c r="E474" s="1" t="s">
        <v>5</v>
      </c>
      <c r="F474" s="1">
        <v>2</v>
      </c>
      <c r="G474" s="1">
        <v>909</v>
      </c>
      <c r="H474" s="1">
        <v>907</v>
      </c>
      <c r="I474" s="58"/>
      <c r="J474" s="58"/>
      <c r="K474" s="1" t="s">
        <v>877</v>
      </c>
    </row>
    <row r="475" spans="1:11" x14ac:dyDescent="0.25">
      <c r="A475" s="66">
        <v>46302</v>
      </c>
      <c r="B475" s="45">
        <v>0.94172453703703707</v>
      </c>
      <c r="C475" s="1" t="s">
        <v>458</v>
      </c>
      <c r="D475" s="1" t="s">
        <v>182</v>
      </c>
      <c r="E475" s="1" t="s">
        <v>183</v>
      </c>
      <c r="F475" s="1">
        <v>1</v>
      </c>
      <c r="G475" s="1">
        <v>14</v>
      </c>
      <c r="H475" s="1">
        <v>13</v>
      </c>
      <c r="I475" s="58">
        <v>4847</v>
      </c>
      <c r="J475" s="58">
        <v>4847</v>
      </c>
      <c r="K475" s="1" t="s">
        <v>877</v>
      </c>
    </row>
    <row r="476" spans="1:11" x14ac:dyDescent="0.25">
      <c r="A476" s="66">
        <v>46302</v>
      </c>
      <c r="B476" s="45">
        <v>0.94172453703703707</v>
      </c>
      <c r="C476" s="1" t="s">
        <v>458</v>
      </c>
      <c r="D476" s="1" t="s">
        <v>302</v>
      </c>
      <c r="E476" s="1" t="s">
        <v>161</v>
      </c>
      <c r="F476" s="1">
        <v>1</v>
      </c>
      <c r="G476" s="1">
        <v>28</v>
      </c>
      <c r="H476" s="1">
        <v>27</v>
      </c>
      <c r="I476" s="58">
        <v>660</v>
      </c>
      <c r="J476" s="58">
        <v>660</v>
      </c>
      <c r="K476" s="1" t="s">
        <v>877</v>
      </c>
    </row>
    <row r="477" spans="1:11" ht="30" x14ac:dyDescent="0.25">
      <c r="A477" s="66">
        <v>46302</v>
      </c>
      <c r="B477" s="45">
        <v>0.95267361111111115</v>
      </c>
      <c r="C477" s="1" t="s">
        <v>458</v>
      </c>
      <c r="D477" s="1" t="s">
        <v>112</v>
      </c>
      <c r="E477" s="1" t="s">
        <v>114</v>
      </c>
      <c r="F477" s="1">
        <v>1</v>
      </c>
      <c r="G477" s="1">
        <v>8</v>
      </c>
      <c r="H477" s="1">
        <v>7</v>
      </c>
      <c r="I477" s="58"/>
      <c r="J477" s="58"/>
      <c r="K477" s="1" t="s">
        <v>878</v>
      </c>
    </row>
    <row r="478" spans="1:11" x14ac:dyDescent="0.25">
      <c r="A478" s="66">
        <v>46302</v>
      </c>
      <c r="B478" s="45">
        <v>0.95267361111111115</v>
      </c>
      <c r="C478" s="1" t="s">
        <v>458</v>
      </c>
      <c r="D478" s="1" t="s">
        <v>21</v>
      </c>
      <c r="E478" s="1" t="s">
        <v>5</v>
      </c>
      <c r="F478" s="1">
        <v>1</v>
      </c>
      <c r="G478" s="1">
        <v>907</v>
      </c>
      <c r="H478" s="1">
        <v>906</v>
      </c>
      <c r="I478" s="58"/>
      <c r="J478" s="58"/>
      <c r="K478" s="1" t="s">
        <v>878</v>
      </c>
    </row>
    <row r="479" spans="1:11" x14ac:dyDescent="0.25">
      <c r="A479" s="66">
        <v>46302</v>
      </c>
      <c r="B479" s="45">
        <v>0.95267361111111115</v>
      </c>
      <c r="C479" s="1" t="s">
        <v>458</v>
      </c>
      <c r="D479" s="1" t="s">
        <v>65</v>
      </c>
      <c r="E479" s="1" t="s">
        <v>16</v>
      </c>
      <c r="F479" s="1">
        <v>1</v>
      </c>
      <c r="G479" s="1">
        <v>78</v>
      </c>
      <c r="H479" s="1">
        <v>77</v>
      </c>
      <c r="I479" s="58">
        <v>4030</v>
      </c>
      <c r="J479" s="58">
        <v>4030</v>
      </c>
      <c r="K479" s="1" t="s">
        <v>878</v>
      </c>
    </row>
    <row r="480" spans="1:11" x14ac:dyDescent="0.25">
      <c r="A480" s="66">
        <v>46302</v>
      </c>
      <c r="B480" s="45">
        <v>0.96383101851851849</v>
      </c>
      <c r="C480" s="1" t="s">
        <v>458</v>
      </c>
      <c r="D480" s="1" t="s">
        <v>158</v>
      </c>
      <c r="E480" s="1" t="s">
        <v>159</v>
      </c>
      <c r="F480" s="1">
        <v>1</v>
      </c>
      <c r="G480" s="1">
        <v>27</v>
      </c>
      <c r="H480" s="1">
        <v>26</v>
      </c>
      <c r="I480" s="58">
        <v>800</v>
      </c>
      <c r="J480" s="58">
        <v>800</v>
      </c>
      <c r="K480" s="1" t="s">
        <v>879</v>
      </c>
    </row>
    <row r="481" spans="1:11" x14ac:dyDescent="0.25">
      <c r="A481" s="66">
        <v>46302</v>
      </c>
      <c r="B481" s="45">
        <v>0.96383101851851849</v>
      </c>
      <c r="C481" s="1" t="s">
        <v>458</v>
      </c>
      <c r="D481" s="1" t="s">
        <v>302</v>
      </c>
      <c r="E481" s="1" t="s">
        <v>161</v>
      </c>
      <c r="F481" s="1">
        <v>2</v>
      </c>
      <c r="G481" s="1">
        <v>27</v>
      </c>
      <c r="H481" s="1">
        <v>25</v>
      </c>
      <c r="I481" s="58">
        <v>660</v>
      </c>
      <c r="J481" s="58">
        <v>1320</v>
      </c>
      <c r="K481" s="1" t="s">
        <v>879</v>
      </c>
    </row>
    <row r="482" spans="1:11" x14ac:dyDescent="0.25">
      <c r="A482" s="66">
        <v>46302</v>
      </c>
      <c r="B482" s="45">
        <v>0.98281249999999998</v>
      </c>
      <c r="C482" s="1" t="s">
        <v>458</v>
      </c>
      <c r="D482" s="1" t="s">
        <v>65</v>
      </c>
      <c r="E482" s="1" t="s">
        <v>16</v>
      </c>
      <c r="F482" s="1">
        <v>1</v>
      </c>
      <c r="G482" s="1">
        <v>77</v>
      </c>
      <c r="H482" s="1">
        <v>76</v>
      </c>
      <c r="I482" s="58">
        <v>4030</v>
      </c>
      <c r="J482" s="58">
        <v>4030</v>
      </c>
      <c r="K482" s="1" t="s">
        <v>880</v>
      </c>
    </row>
    <row r="483" spans="1:11" x14ac:dyDescent="0.25">
      <c r="A483" s="66">
        <v>46302</v>
      </c>
      <c r="B483" s="45">
        <v>0.98281249999999998</v>
      </c>
      <c r="C483" s="1" t="s">
        <v>458</v>
      </c>
      <c r="D483" s="1" t="s">
        <v>21</v>
      </c>
      <c r="E483" s="1" t="s">
        <v>5</v>
      </c>
      <c r="F483" s="1">
        <v>1</v>
      </c>
      <c r="G483" s="1">
        <v>906</v>
      </c>
      <c r="H483" s="1">
        <v>905</v>
      </c>
      <c r="I483" s="58"/>
      <c r="J483" s="58"/>
      <c r="K483" s="1" t="s">
        <v>880</v>
      </c>
    </row>
    <row r="484" spans="1:11" ht="30" x14ac:dyDescent="0.25">
      <c r="A484" s="66">
        <v>46302</v>
      </c>
      <c r="B484" s="45">
        <v>0.98412037037037037</v>
      </c>
      <c r="C484" s="1" t="s">
        <v>458</v>
      </c>
      <c r="D484" s="1" t="s">
        <v>127</v>
      </c>
      <c r="E484" s="1" t="s">
        <v>128</v>
      </c>
      <c r="F484" s="1">
        <v>1</v>
      </c>
      <c r="G484" s="1">
        <v>8</v>
      </c>
      <c r="H484" s="1">
        <v>7</v>
      </c>
      <c r="I484" s="58"/>
      <c r="J484" s="58"/>
      <c r="K484" s="1" t="s">
        <v>881</v>
      </c>
    </row>
    <row r="485" spans="1:11" x14ac:dyDescent="0.25">
      <c r="A485" s="66">
        <v>46302</v>
      </c>
      <c r="B485" s="45">
        <v>0.98493055555555553</v>
      </c>
      <c r="C485" s="1" t="s">
        <v>458</v>
      </c>
      <c r="D485" s="1" t="s">
        <v>10</v>
      </c>
      <c r="E485" s="1" t="s">
        <v>15</v>
      </c>
      <c r="F485" s="1">
        <v>1</v>
      </c>
      <c r="G485" s="1">
        <v>7</v>
      </c>
      <c r="H485" s="1">
        <v>6</v>
      </c>
      <c r="I485" s="58"/>
      <c r="J485" s="58"/>
      <c r="K485" s="1" t="s">
        <v>882</v>
      </c>
    </row>
    <row r="486" spans="1:11" x14ac:dyDescent="0.25">
      <c r="A486" s="66">
        <v>46302</v>
      </c>
      <c r="B486" s="45">
        <v>0.98493055555555553</v>
      </c>
      <c r="C486" s="1" t="s">
        <v>458</v>
      </c>
      <c r="D486" s="1" t="s">
        <v>28</v>
      </c>
      <c r="E486" s="1" t="s">
        <v>107</v>
      </c>
      <c r="F486" s="1">
        <v>2</v>
      </c>
      <c r="G486" s="1">
        <v>28</v>
      </c>
      <c r="H486" s="1">
        <v>26</v>
      </c>
      <c r="I486" s="58">
        <v>2290</v>
      </c>
      <c r="J486" s="58">
        <v>4580</v>
      </c>
      <c r="K486" s="1" t="s">
        <v>882</v>
      </c>
    </row>
    <row r="487" spans="1:11" x14ac:dyDescent="0.25">
      <c r="A487" s="66">
        <v>46302</v>
      </c>
      <c r="B487" s="45">
        <v>0.98493055555555553</v>
      </c>
      <c r="C487" s="1" t="s">
        <v>458</v>
      </c>
      <c r="D487" s="1" t="s">
        <v>25</v>
      </c>
      <c r="E487" s="1" t="s">
        <v>12</v>
      </c>
      <c r="F487" s="1">
        <v>1</v>
      </c>
      <c r="G487" s="1">
        <v>94</v>
      </c>
      <c r="H487" s="1">
        <v>93</v>
      </c>
      <c r="I487" s="58"/>
      <c r="J487" s="58"/>
      <c r="K487" s="1" t="s">
        <v>882</v>
      </c>
    </row>
    <row r="488" spans="1:11" x14ac:dyDescent="0.25">
      <c r="A488" s="66">
        <v>46302</v>
      </c>
      <c r="B488" s="45">
        <v>0.98521990740740739</v>
      </c>
      <c r="C488" s="1" t="s">
        <v>458</v>
      </c>
      <c r="D488" s="1" t="s">
        <v>21</v>
      </c>
      <c r="E488" s="1" t="s">
        <v>5</v>
      </c>
      <c r="F488" s="1">
        <v>2</v>
      </c>
      <c r="G488" s="1">
        <v>905</v>
      </c>
      <c r="H488" s="1">
        <v>903</v>
      </c>
      <c r="I488" s="58"/>
      <c r="J488" s="58"/>
      <c r="K488" s="1" t="s">
        <v>883</v>
      </c>
    </row>
    <row r="489" spans="1:11" ht="30" x14ac:dyDescent="0.25">
      <c r="A489" s="66">
        <v>46302</v>
      </c>
      <c r="B489" s="45">
        <v>0.98521990740740739</v>
      </c>
      <c r="C489" s="1" t="s">
        <v>458</v>
      </c>
      <c r="D489" s="1" t="s">
        <v>27</v>
      </c>
      <c r="E489" s="1" t="s">
        <v>106</v>
      </c>
      <c r="F489" s="1">
        <v>2</v>
      </c>
      <c r="G489" s="1">
        <v>20</v>
      </c>
      <c r="H489" s="1">
        <v>18</v>
      </c>
      <c r="I489" s="58">
        <v>2967</v>
      </c>
      <c r="J489" s="58">
        <v>5934</v>
      </c>
      <c r="K489" s="1" t="s">
        <v>883</v>
      </c>
    </row>
    <row r="490" spans="1:11" x14ac:dyDescent="0.25">
      <c r="A490" s="66">
        <v>46302</v>
      </c>
      <c r="B490" s="45">
        <v>0.98521990740740739</v>
      </c>
      <c r="C490" s="1" t="s">
        <v>458</v>
      </c>
      <c r="D490" s="1" t="s">
        <v>10</v>
      </c>
      <c r="E490" s="1" t="s">
        <v>15</v>
      </c>
      <c r="F490" s="1">
        <v>1</v>
      </c>
      <c r="G490" s="1">
        <v>6</v>
      </c>
      <c r="H490" s="1">
        <v>5</v>
      </c>
      <c r="I490" s="58"/>
      <c r="J490" s="58"/>
      <c r="K490" s="1" t="s">
        <v>883</v>
      </c>
    </row>
    <row r="491" spans="1:11" x14ac:dyDescent="0.25">
      <c r="A491" s="66">
        <v>46302</v>
      </c>
      <c r="B491" s="45">
        <v>0.9853587962962963</v>
      </c>
      <c r="C491" s="1" t="s">
        <v>458</v>
      </c>
      <c r="D491" s="1" t="s">
        <v>28</v>
      </c>
      <c r="E491" s="1" t="s">
        <v>107</v>
      </c>
      <c r="F491" s="1">
        <v>1</v>
      </c>
      <c r="G491" s="1">
        <v>26</v>
      </c>
      <c r="H491" s="1">
        <v>25</v>
      </c>
      <c r="I491" s="58">
        <v>2290</v>
      </c>
      <c r="J491" s="58">
        <v>2290</v>
      </c>
      <c r="K491" s="1" t="s">
        <v>884</v>
      </c>
    </row>
    <row r="492" spans="1:11" x14ac:dyDescent="0.25">
      <c r="A492" s="66">
        <v>46302</v>
      </c>
      <c r="B492" s="45">
        <v>0.9853587962962963</v>
      </c>
      <c r="C492" s="1" t="s">
        <v>458</v>
      </c>
      <c r="D492" s="1" t="s">
        <v>32</v>
      </c>
      <c r="E492" s="1" t="s">
        <v>9</v>
      </c>
      <c r="F492" s="1">
        <v>1</v>
      </c>
      <c r="G492" s="1">
        <v>39</v>
      </c>
      <c r="H492" s="1">
        <v>38</v>
      </c>
      <c r="I492" s="58">
        <v>2690</v>
      </c>
      <c r="J492" s="58">
        <v>2690</v>
      </c>
      <c r="K492" s="1" t="s">
        <v>884</v>
      </c>
    </row>
    <row r="493" spans="1:11" x14ac:dyDescent="0.25">
      <c r="A493" s="66">
        <v>46302</v>
      </c>
      <c r="B493" s="45">
        <v>0.9853587962962963</v>
      </c>
      <c r="C493" s="1" t="s">
        <v>458</v>
      </c>
      <c r="D493" s="1" t="s">
        <v>22</v>
      </c>
      <c r="E493" s="1" t="s">
        <v>104</v>
      </c>
      <c r="F493" s="1">
        <v>2</v>
      </c>
      <c r="G493" s="1">
        <v>10</v>
      </c>
      <c r="H493" s="1">
        <v>8</v>
      </c>
      <c r="I493" s="58">
        <v>2967</v>
      </c>
      <c r="J493" s="58">
        <v>5934</v>
      </c>
      <c r="K493" s="1" t="s">
        <v>884</v>
      </c>
    </row>
    <row r="494" spans="1:11" x14ac:dyDescent="0.25">
      <c r="A494" s="66">
        <v>46302</v>
      </c>
      <c r="B494" s="45">
        <v>0.98537037037037034</v>
      </c>
      <c r="C494" s="1" t="s">
        <v>458</v>
      </c>
      <c r="D494" s="1" t="s">
        <v>21</v>
      </c>
      <c r="E494" s="1" t="s">
        <v>5</v>
      </c>
      <c r="F494" s="1">
        <v>3</v>
      </c>
      <c r="G494" s="1">
        <v>903</v>
      </c>
      <c r="H494" s="1">
        <v>900</v>
      </c>
      <c r="I494" s="58"/>
      <c r="J494" s="58"/>
      <c r="K494" s="1" t="s">
        <v>884</v>
      </c>
    </row>
    <row r="495" spans="1:11" x14ac:dyDescent="0.25">
      <c r="A495" s="66">
        <v>46302</v>
      </c>
      <c r="B495" s="45">
        <v>0.98537037037037034</v>
      </c>
      <c r="C495" s="1" t="s">
        <v>458</v>
      </c>
      <c r="D495" s="1" t="s">
        <v>24</v>
      </c>
      <c r="E495" s="1" t="s">
        <v>105</v>
      </c>
      <c r="F495" s="1">
        <v>1</v>
      </c>
      <c r="G495" s="1">
        <v>14</v>
      </c>
      <c r="H495" s="1">
        <v>13</v>
      </c>
      <c r="I495" s="58">
        <v>2967</v>
      </c>
      <c r="J495" s="58">
        <v>2967</v>
      </c>
      <c r="K495" s="1" t="s">
        <v>884</v>
      </c>
    </row>
    <row r="496" spans="1:11" ht="30" x14ac:dyDescent="0.25">
      <c r="A496" s="66">
        <v>46302</v>
      </c>
      <c r="B496" s="45">
        <v>0.98548611111111106</v>
      </c>
      <c r="C496" s="1" t="s">
        <v>458</v>
      </c>
      <c r="D496" s="1" t="s">
        <v>112</v>
      </c>
      <c r="E496" s="1" t="s">
        <v>114</v>
      </c>
      <c r="F496" s="1">
        <v>1</v>
      </c>
      <c r="G496" s="1">
        <v>7</v>
      </c>
      <c r="H496" s="1">
        <v>6</v>
      </c>
      <c r="I496" s="58"/>
      <c r="J496" s="58"/>
      <c r="K496" s="1" t="s">
        <v>885</v>
      </c>
    </row>
    <row r="497" spans="1:11" x14ac:dyDescent="0.25">
      <c r="A497" s="66">
        <v>46302</v>
      </c>
      <c r="B497" s="45">
        <v>0.98629629629629634</v>
      </c>
      <c r="C497" s="1" t="s">
        <v>458</v>
      </c>
      <c r="D497" s="1" t="s">
        <v>158</v>
      </c>
      <c r="E497" s="1" t="s">
        <v>159</v>
      </c>
      <c r="F497" s="1">
        <v>5</v>
      </c>
      <c r="G497" s="1">
        <v>26</v>
      </c>
      <c r="H497" s="1">
        <v>21</v>
      </c>
      <c r="I497" s="58">
        <v>800</v>
      </c>
      <c r="J497" s="58">
        <v>4000</v>
      </c>
      <c r="K497" s="1" t="s">
        <v>886</v>
      </c>
    </row>
    <row r="498" spans="1:11" x14ac:dyDescent="0.25">
      <c r="A498" s="66">
        <v>46302</v>
      </c>
      <c r="B498" s="45">
        <v>0.98629629629629634</v>
      </c>
      <c r="C498" s="1" t="s">
        <v>458</v>
      </c>
      <c r="D498" s="1" t="s">
        <v>182</v>
      </c>
      <c r="E498" s="1" t="s">
        <v>183</v>
      </c>
      <c r="F498" s="1">
        <v>4</v>
      </c>
      <c r="G498" s="1">
        <v>13</v>
      </c>
      <c r="H498" s="1">
        <v>9</v>
      </c>
      <c r="I498" s="58">
        <v>4847</v>
      </c>
      <c r="J498" s="58">
        <v>19388</v>
      </c>
      <c r="K498" s="1" t="s">
        <v>886</v>
      </c>
    </row>
    <row r="499" spans="1:11" x14ac:dyDescent="0.25">
      <c r="A499" s="66">
        <v>46302</v>
      </c>
      <c r="B499" s="45">
        <v>0.98629629629629634</v>
      </c>
      <c r="C499" s="1" t="s">
        <v>458</v>
      </c>
      <c r="D499" s="1" t="s">
        <v>28</v>
      </c>
      <c r="E499" s="1" t="s">
        <v>107</v>
      </c>
      <c r="F499" s="1">
        <v>1</v>
      </c>
      <c r="G499" s="1">
        <v>25</v>
      </c>
      <c r="H499" s="1">
        <v>24</v>
      </c>
      <c r="I499" s="58">
        <v>2290</v>
      </c>
      <c r="J499" s="58">
        <v>2290</v>
      </c>
      <c r="K499" s="1" t="s">
        <v>886</v>
      </c>
    </row>
    <row r="500" spans="1:11" x14ac:dyDescent="0.25">
      <c r="A500" s="6">
        <v>46303</v>
      </c>
      <c r="B500" s="45">
        <v>0.87591435185185185</v>
      </c>
      <c r="C500" s="1" t="s">
        <v>458</v>
      </c>
      <c r="D500" s="1" t="s">
        <v>158</v>
      </c>
      <c r="E500" s="1" t="s">
        <v>159</v>
      </c>
      <c r="F500" s="1">
        <v>2</v>
      </c>
      <c r="G500" s="1">
        <v>29</v>
      </c>
      <c r="H500" s="1">
        <v>27</v>
      </c>
      <c r="I500" s="58">
        <v>800</v>
      </c>
      <c r="J500" s="58">
        <v>1600</v>
      </c>
      <c r="K500" s="1" t="s">
        <v>888</v>
      </c>
    </row>
    <row r="501" spans="1:11" x14ac:dyDescent="0.25">
      <c r="A501" s="6">
        <v>46303</v>
      </c>
      <c r="B501" s="45">
        <v>0.87591435185185185</v>
      </c>
      <c r="C501" s="1" t="s">
        <v>458</v>
      </c>
      <c r="D501" s="1" t="s">
        <v>130</v>
      </c>
      <c r="E501" s="1" t="s">
        <v>132</v>
      </c>
      <c r="F501" s="1">
        <v>2</v>
      </c>
      <c r="G501" s="1">
        <v>85</v>
      </c>
      <c r="H501" s="1">
        <v>83</v>
      </c>
      <c r="I501" s="58"/>
      <c r="J501" s="58"/>
      <c r="K501" s="1" t="s">
        <v>888</v>
      </c>
    </row>
    <row r="502" spans="1:11" x14ac:dyDescent="0.25">
      <c r="A502" s="6">
        <v>46303</v>
      </c>
      <c r="B502" s="45">
        <v>0.8787962962962963</v>
      </c>
      <c r="C502" s="1" t="s">
        <v>458</v>
      </c>
      <c r="D502" s="1" t="s">
        <v>130</v>
      </c>
      <c r="E502" s="1" t="s">
        <v>132</v>
      </c>
      <c r="F502" s="1">
        <v>2</v>
      </c>
      <c r="G502" s="1">
        <v>83</v>
      </c>
      <c r="H502" s="1">
        <v>81</v>
      </c>
      <c r="I502" s="58"/>
      <c r="J502" s="58"/>
      <c r="K502" s="1" t="s">
        <v>888</v>
      </c>
    </row>
    <row r="503" spans="1:11" x14ac:dyDescent="0.25">
      <c r="A503" s="6">
        <v>46303</v>
      </c>
      <c r="B503" s="45">
        <v>0.8787962962962963</v>
      </c>
      <c r="C503" s="1" t="s">
        <v>458</v>
      </c>
      <c r="D503" s="1" t="s">
        <v>158</v>
      </c>
      <c r="E503" s="1" t="s">
        <v>159</v>
      </c>
      <c r="F503" s="1">
        <v>2</v>
      </c>
      <c r="G503" s="1">
        <v>27</v>
      </c>
      <c r="H503" s="1">
        <v>25</v>
      </c>
      <c r="I503" s="58">
        <v>800</v>
      </c>
      <c r="J503" s="58">
        <v>1600</v>
      </c>
      <c r="K503" s="1" t="s">
        <v>888</v>
      </c>
    </row>
    <row r="504" spans="1:11" x14ac:dyDescent="0.25">
      <c r="A504" s="6">
        <v>46303</v>
      </c>
      <c r="B504" s="45">
        <v>0.88769675925925928</v>
      </c>
      <c r="C504" s="1" t="s">
        <v>458</v>
      </c>
      <c r="D504" s="1" t="s">
        <v>130</v>
      </c>
      <c r="E504" s="1" t="s">
        <v>132</v>
      </c>
      <c r="F504" s="1">
        <v>2</v>
      </c>
      <c r="G504" s="1">
        <v>81</v>
      </c>
      <c r="H504" s="1">
        <v>79</v>
      </c>
      <c r="I504" s="58"/>
      <c r="J504" s="58"/>
      <c r="K504" s="1" t="s">
        <v>888</v>
      </c>
    </row>
    <row r="505" spans="1:11" x14ac:dyDescent="0.25">
      <c r="A505" s="6">
        <v>46303</v>
      </c>
      <c r="B505" s="45">
        <v>0.88769675925925928</v>
      </c>
      <c r="C505" s="1" t="s">
        <v>458</v>
      </c>
      <c r="D505" s="1" t="s">
        <v>158</v>
      </c>
      <c r="E505" s="1" t="s">
        <v>159</v>
      </c>
      <c r="F505" s="1">
        <v>2</v>
      </c>
      <c r="G505" s="1">
        <v>25</v>
      </c>
      <c r="H505" s="1">
        <v>23</v>
      </c>
      <c r="I505" s="58">
        <v>800</v>
      </c>
      <c r="J505" s="58">
        <v>1600</v>
      </c>
      <c r="K505" s="1" t="s">
        <v>888</v>
      </c>
    </row>
    <row r="506" spans="1:11" x14ac:dyDescent="0.25">
      <c r="A506" s="6">
        <v>46303</v>
      </c>
      <c r="B506" s="45">
        <v>0.89996527777777779</v>
      </c>
      <c r="C506" s="1" t="s">
        <v>458</v>
      </c>
      <c r="D506" s="1" t="s">
        <v>130</v>
      </c>
      <c r="E506" s="1" t="s">
        <v>132</v>
      </c>
      <c r="F506" s="1">
        <v>2</v>
      </c>
      <c r="G506" s="1">
        <v>79</v>
      </c>
      <c r="H506" s="1">
        <v>77</v>
      </c>
      <c r="I506" s="58"/>
      <c r="J506" s="58"/>
      <c r="K506" s="1" t="s">
        <v>898</v>
      </c>
    </row>
    <row r="507" spans="1:11" x14ac:dyDescent="0.25">
      <c r="A507" s="6">
        <v>46303</v>
      </c>
      <c r="B507" s="45">
        <v>0.89996527777777779</v>
      </c>
      <c r="C507" s="1" t="s">
        <v>458</v>
      </c>
      <c r="D507" s="1" t="s">
        <v>158</v>
      </c>
      <c r="E507" s="1" t="s">
        <v>159</v>
      </c>
      <c r="F507" s="1">
        <v>2</v>
      </c>
      <c r="G507" s="1">
        <v>23</v>
      </c>
      <c r="H507" s="1">
        <v>21</v>
      </c>
      <c r="I507" s="58">
        <v>800</v>
      </c>
      <c r="J507" s="58">
        <v>1600</v>
      </c>
      <c r="K507" s="1" t="s">
        <v>898</v>
      </c>
    </row>
    <row r="508" spans="1:11" x14ac:dyDescent="0.25">
      <c r="A508" s="6">
        <v>46303</v>
      </c>
      <c r="B508" s="45">
        <v>0.93596064814814817</v>
      </c>
      <c r="C508" s="1" t="s">
        <v>458</v>
      </c>
      <c r="D508" s="1" t="s">
        <v>65</v>
      </c>
      <c r="E508" s="1" t="s">
        <v>16</v>
      </c>
      <c r="F508" s="1">
        <v>1</v>
      </c>
      <c r="G508" s="1">
        <v>64</v>
      </c>
      <c r="H508" s="1">
        <v>63</v>
      </c>
      <c r="I508" s="58">
        <v>4030</v>
      </c>
      <c r="J508" s="58">
        <v>4030</v>
      </c>
      <c r="K508" s="1" t="s">
        <v>899</v>
      </c>
    </row>
    <row r="509" spans="1:11" x14ac:dyDescent="0.25">
      <c r="A509" s="6">
        <v>46303</v>
      </c>
      <c r="B509" s="45">
        <v>0.93596064814814817</v>
      </c>
      <c r="C509" s="1" t="s">
        <v>458</v>
      </c>
      <c r="D509" s="1" t="s">
        <v>130</v>
      </c>
      <c r="E509" s="1" t="s">
        <v>132</v>
      </c>
      <c r="F509" s="1">
        <v>1</v>
      </c>
      <c r="G509" s="1">
        <v>77</v>
      </c>
      <c r="H509" s="1">
        <v>76</v>
      </c>
      <c r="I509" s="58"/>
      <c r="J509" s="58"/>
      <c r="K509" s="1" t="s">
        <v>899</v>
      </c>
    </row>
    <row r="510" spans="1:11" x14ac:dyDescent="0.25">
      <c r="A510" s="6">
        <v>46303</v>
      </c>
      <c r="B510" s="45">
        <v>0.94081018518518522</v>
      </c>
      <c r="C510" s="1" t="s">
        <v>458</v>
      </c>
      <c r="D510" s="1" t="s">
        <v>65</v>
      </c>
      <c r="E510" s="1" t="s">
        <v>16</v>
      </c>
      <c r="F510" s="1">
        <v>1</v>
      </c>
      <c r="G510" s="1">
        <v>63</v>
      </c>
      <c r="H510" s="1">
        <v>62</v>
      </c>
      <c r="I510" s="58">
        <v>4030</v>
      </c>
      <c r="J510" s="58">
        <v>4030</v>
      </c>
      <c r="K510" s="1" t="s">
        <v>900</v>
      </c>
    </row>
    <row r="511" spans="1:11" x14ac:dyDescent="0.25">
      <c r="A511" s="6">
        <v>46303</v>
      </c>
      <c r="B511" s="45">
        <v>0.94089120370370372</v>
      </c>
      <c r="C511" s="1" t="s">
        <v>458</v>
      </c>
      <c r="D511" s="1" t="s">
        <v>182</v>
      </c>
      <c r="E511" s="1" t="s">
        <v>183</v>
      </c>
      <c r="F511" s="1">
        <v>1</v>
      </c>
      <c r="G511" s="1">
        <v>19</v>
      </c>
      <c r="H511" s="1">
        <v>18</v>
      </c>
      <c r="I511" s="58">
        <v>4847</v>
      </c>
      <c r="J511" s="58">
        <v>4847</v>
      </c>
      <c r="K511" s="1" t="s">
        <v>901</v>
      </c>
    </row>
    <row r="512" spans="1:11" x14ac:dyDescent="0.25">
      <c r="A512" s="6">
        <v>46303</v>
      </c>
      <c r="B512" s="45">
        <v>0.96405092592592589</v>
      </c>
      <c r="C512" s="1" t="s">
        <v>458</v>
      </c>
      <c r="D512" s="1" t="s">
        <v>65</v>
      </c>
      <c r="E512" s="1" t="s">
        <v>16</v>
      </c>
      <c r="F512" s="1">
        <v>1</v>
      </c>
      <c r="G512" s="1">
        <v>62</v>
      </c>
      <c r="H512" s="1">
        <v>61</v>
      </c>
      <c r="I512" s="58">
        <v>4030</v>
      </c>
      <c r="J512" s="58">
        <v>4030</v>
      </c>
      <c r="K512" s="1" t="s">
        <v>902</v>
      </c>
    </row>
    <row r="513" spans="1:11" ht="30" x14ac:dyDescent="0.25">
      <c r="A513" s="6">
        <v>46303</v>
      </c>
      <c r="B513" s="45">
        <v>0.96405092592592589</v>
      </c>
      <c r="C513" s="1" t="s">
        <v>458</v>
      </c>
      <c r="D513" s="1" t="s">
        <v>127</v>
      </c>
      <c r="E513" s="1" t="s">
        <v>128</v>
      </c>
      <c r="F513" s="1">
        <v>1</v>
      </c>
      <c r="G513" s="1">
        <v>9</v>
      </c>
      <c r="H513" s="1">
        <v>8</v>
      </c>
      <c r="I513" s="58"/>
      <c r="J513" s="58"/>
      <c r="K513" s="1" t="s">
        <v>902</v>
      </c>
    </row>
    <row r="514" spans="1:11" x14ac:dyDescent="0.25">
      <c r="A514" s="6">
        <v>46303</v>
      </c>
      <c r="B514" s="45">
        <v>0.96405092592592589</v>
      </c>
      <c r="C514" s="1" t="s">
        <v>458</v>
      </c>
      <c r="D514" s="1" t="s">
        <v>164</v>
      </c>
      <c r="E514" s="1" t="s">
        <v>165</v>
      </c>
      <c r="F514" s="1">
        <v>1</v>
      </c>
      <c r="G514" s="1">
        <v>18</v>
      </c>
      <c r="H514" s="1">
        <v>17</v>
      </c>
      <c r="I514" s="58"/>
      <c r="J514" s="58"/>
      <c r="K514" s="1" t="s">
        <v>902</v>
      </c>
    </row>
    <row r="515" spans="1:11" x14ac:dyDescent="0.25">
      <c r="A515" s="6">
        <v>46303</v>
      </c>
      <c r="B515" s="45">
        <v>0.96457175925925931</v>
      </c>
      <c r="C515" s="1" t="s">
        <v>458</v>
      </c>
      <c r="D515" s="1" t="s">
        <v>21</v>
      </c>
      <c r="E515" s="1" t="s">
        <v>5</v>
      </c>
      <c r="F515" s="1">
        <v>1</v>
      </c>
      <c r="G515" s="1">
        <v>916</v>
      </c>
      <c r="H515" s="1">
        <v>915</v>
      </c>
      <c r="I515" s="58"/>
      <c r="J515" s="58"/>
      <c r="K515" s="1" t="s">
        <v>903</v>
      </c>
    </row>
    <row r="516" spans="1:11" x14ac:dyDescent="0.25">
      <c r="A516" s="6">
        <v>46304</v>
      </c>
      <c r="B516" s="45">
        <v>3.8356481481481484E-2</v>
      </c>
      <c r="C516" s="1" t="s">
        <v>458</v>
      </c>
      <c r="D516" s="1" t="s">
        <v>21</v>
      </c>
      <c r="E516" s="1" t="s">
        <v>5</v>
      </c>
      <c r="F516" s="1">
        <v>1</v>
      </c>
      <c r="G516" s="1">
        <v>915</v>
      </c>
      <c r="H516" s="1">
        <v>914</v>
      </c>
      <c r="I516" s="58"/>
      <c r="J516" s="58"/>
      <c r="K516" s="1" t="s">
        <v>907</v>
      </c>
    </row>
    <row r="517" spans="1:11" ht="30" x14ac:dyDescent="0.25">
      <c r="A517" s="6">
        <v>46304</v>
      </c>
      <c r="B517" s="45">
        <v>3.8356481481481484E-2</v>
      </c>
      <c r="C517" s="1" t="s">
        <v>458</v>
      </c>
      <c r="D517" s="1" t="s">
        <v>127</v>
      </c>
      <c r="E517" s="1" t="s">
        <v>128</v>
      </c>
      <c r="F517" s="1">
        <v>1</v>
      </c>
      <c r="G517" s="1">
        <v>8</v>
      </c>
      <c r="H517" s="1">
        <v>7</v>
      </c>
      <c r="I517" s="58"/>
      <c r="J517" s="58"/>
      <c r="K517" s="1" t="s">
        <v>907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</vt:i4>
      </vt:variant>
    </vt:vector>
  </HeadingPairs>
  <TitlesOfParts>
    <vt:vector size="16" baseType="lpstr">
      <vt:lpstr>Facturas</vt:lpstr>
      <vt:lpstr>Clientes</vt:lpstr>
      <vt:lpstr>Caja</vt:lpstr>
      <vt:lpstr>DetalleFactura</vt:lpstr>
      <vt:lpstr>Pagos</vt:lpstr>
      <vt:lpstr>Configuración</vt:lpstr>
      <vt:lpstr>Reportes</vt:lpstr>
      <vt:lpstr>Factura</vt:lpstr>
      <vt:lpstr>Productos</vt:lpstr>
      <vt:lpstr>Gastos</vt:lpstr>
      <vt:lpstr>OtrosMovimientos</vt:lpstr>
      <vt:lpstr>Prestamos</vt:lpstr>
      <vt:lpstr>MovimientoPrestamos</vt:lpstr>
      <vt:lpstr>MovimientosInventario</vt:lpstr>
      <vt:lpstr>AuxDashboard!Área_de_impresión</vt:lpstr>
      <vt:lpstr>Reportes!Área_de_impresión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JIOVAN DARIO RIOS GOMEZ</dc:creator>
  <cp:lastModifiedBy>Miguel Angel Molina Agudelo</cp:lastModifiedBy>
  <cp:lastPrinted>2026-10-09T23:49:59Z</cp:lastPrinted>
  <dcterms:created xsi:type="dcterms:W3CDTF">2026-08-01T23:18:45Z</dcterms:created>
  <dcterms:modified xsi:type="dcterms:W3CDTF">2026-10-10T00:17:25Z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f31f28-22f5-4384-803c-0ea852dde15e_Enabled">
    <vt:lpwstr>true</vt:lpwstr>
  </property>
  <property fmtid="{D5CDD505-2E9C-101B-9397-08002B2CF9AE}" pid="3" name="MSIP_Label_4cf31f28-22f5-4384-803c-0ea852dde15e_SetDate">
    <vt:lpwstr>2026-10-10T00:16:25Z</vt:lpwstr>
  </property>
  <property fmtid="{D5CDD505-2E9C-101B-9397-08002B2CF9AE}" pid="4" name="MSIP_Label_4cf31f28-22f5-4384-803c-0ea852dde15e_Method">
    <vt:lpwstr>Standard</vt:lpwstr>
  </property>
  <property fmtid="{D5CDD505-2E9C-101B-9397-08002B2CF9AE}" pid="5" name="MSIP_Label_4cf31f28-22f5-4384-803c-0ea852dde15e_Name">
    <vt:lpwstr>defa4170-0d19-0005-0004-bc88714345d2</vt:lpwstr>
  </property>
  <property fmtid="{D5CDD505-2E9C-101B-9397-08002B2CF9AE}" pid="6" name="MSIP_Label_4cf31f28-22f5-4384-803c-0ea852dde15e_SiteId">
    <vt:lpwstr>7b602e3f-9419-4e3d-ac7d-b88d41ce0b3a</vt:lpwstr>
  </property>
  <property fmtid="{D5CDD505-2E9C-101B-9397-08002B2CF9AE}" pid="7" name="MSIP_Label_4cf31f28-22f5-4384-803c-0ea852dde15e_ActionId">
    <vt:lpwstr>42dab16b-45e8-484d-b025-04dd9f2b7c37</vt:lpwstr>
  </property>
  <property fmtid="{D5CDD505-2E9C-101B-9397-08002B2CF9AE}" pid="8" name="MSIP_Label_4cf31f28-22f5-4384-803c-0ea852dde15e_ContentBits">
    <vt:lpwstr>0</vt:lpwstr>
  </property>
  <property fmtid="{D5CDD505-2E9C-101B-9397-08002B2CF9AE}" pid="9" name="MSIP_Label_4cf31f28-22f5-4384-803c-0ea852dde15e_Tag">
    <vt:lpwstr>10, 3, 0, 1</vt:lpwstr>
  </property>
</Properties>
</file>